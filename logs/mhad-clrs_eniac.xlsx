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10" sheetId="1" r:id="rId5"/>
    <sheet state="visible" name="NO-LSTM" sheetId="2" r:id="rId6"/>
    <sheet state="visible" name="MHA-NO-LSTM" sheetId="3" r:id="rId7"/>
    <sheet state="visible" name="SORT" sheetId="4" r:id="rId8"/>
    <sheet state="visible" name="FINAL Paper" sheetId="5" r:id="rId9"/>
    <sheet state="visible" name="Copy of FINAL Paper" sheetId="6" r:id="rId10"/>
  </sheets>
  <definedNames/>
  <calcPr/>
</workbook>
</file>

<file path=xl/sharedStrings.xml><?xml version="1.0" encoding="utf-8"?>
<sst xmlns="http://schemas.openxmlformats.org/spreadsheetml/2006/main" count="248" uniqueCount="86">
  <si>
    <t>Algorithm / Method</t>
  </si>
  <si>
    <t>MHA-128-MIN (260520-1)</t>
  </si>
  <si>
    <t>NONE-NB1 (260521-1)</t>
  </si>
  <si>
    <t>NONE-NO-LSTM (260519-1)</t>
  </si>
  <si>
    <t>NONE-NB1 (260521-2)</t>
  </si>
  <si>
    <t>NONE-NO-LSTM (260519-2)</t>
  </si>
  <si>
    <t>NONE-NO-LSTM (260519-3)</t>
  </si>
  <si>
    <t>NONE-NB1 (260521-3)</t>
  </si>
  <si>
    <t>AVERAGE</t>
  </si>
  <si>
    <t>MHA-128-MIN (260513)</t>
  </si>
  <si>
    <t>NONE-NO-LSTM (260515)</t>
  </si>
  <si>
    <t>MHA-NO-LSTM (260520-1)</t>
  </si>
  <si>
    <t>MHA-128-MIN (260517-1)</t>
  </si>
  <si>
    <t>MHA-NO-LSTM (260520-2)</t>
  </si>
  <si>
    <t>MHA-NO-LSTM (260520-3)</t>
  </si>
  <si>
    <t>MHA-128-MIN (260517-2)</t>
  </si>
  <si>
    <t>MHA-128-MIN (260517-3)</t>
  </si>
  <si>
    <t>Activity Selector</t>
  </si>
  <si>
    <t>MHA-128-MIN (260520-2)</t>
  </si>
  <si>
    <t>MHA-128-MIN (260520-3)</t>
  </si>
  <si>
    <t>STD-DEV</t>
  </si>
  <si>
    <t>LSTM-128-MIN (260522-1)</t>
  </si>
  <si>
    <t>GRU-128-MIN (260523-1)</t>
  </si>
  <si>
    <t>Bubble Sort</t>
  </si>
  <si>
    <t>GRU-128-MIN (260528-1)</t>
  </si>
  <si>
    <t>GRU-128-MIN (260528-2)</t>
  </si>
  <si>
    <t>NONE-128-MIN (260514)</t>
  </si>
  <si>
    <t>NONE-128-MIN (260527-1)</t>
  </si>
  <si>
    <t>NONE-128-MIN (260527-2)</t>
  </si>
  <si>
    <t>MHA-128-MAX (260524-1)</t>
  </si>
  <si>
    <t>MHA-128-MAX (260530-1)</t>
  </si>
  <si>
    <t>MHA-128-MAX (260530-2)</t>
  </si>
  <si>
    <t>Articulation Points</t>
  </si>
  <si>
    <t>DAG shortest paths</t>
  </si>
  <si>
    <t>Heapsort</t>
  </si>
  <si>
    <t>DFS</t>
  </si>
  <si>
    <t>Bellman Ford</t>
  </si>
  <si>
    <t>Floyd-Warshall</t>
  </si>
  <si>
    <t>Insertion sort</t>
  </si>
  <si>
    <t>BFS</t>
  </si>
  <si>
    <t>Graham Scan</t>
  </si>
  <si>
    <t>Binary Search</t>
  </si>
  <si>
    <t>Quicksort</t>
  </si>
  <si>
    <t>MST-Prim</t>
  </si>
  <si>
    <t>Bridges</t>
  </si>
  <si>
    <t>Média</t>
  </si>
  <si>
    <t>Segments Intersect</t>
  </si>
  <si>
    <t>Task Scheduling</t>
  </si>
  <si>
    <t>Dijkstra</t>
  </si>
  <si>
    <t>Find Max. Subarray</t>
  </si>
  <si>
    <t>Jarvis' March</t>
  </si>
  <si>
    <t>Knuth-Morris-Pratt</t>
  </si>
  <si>
    <t>LCS Length</t>
  </si>
  <si>
    <t>Matrix Chain Order</t>
  </si>
  <si>
    <t>Minimum Search</t>
  </si>
  <si>
    <t>MST-Kruskal</t>
  </si>
  <si>
    <t>Naïve String Matcher</t>
  </si>
  <si>
    <t>Optimal BST</t>
  </si>
  <si>
    <t>Quickselect</t>
  </si>
  <si>
    <t>SCC</t>
  </si>
  <si>
    <t>Topological Sort</t>
  </si>
  <si>
    <t>Desvio padrão</t>
  </si>
  <si>
    <t>Mediana</t>
  </si>
  <si>
    <t xml:space="preserve">Divide &amp; Conquer </t>
  </si>
  <si>
    <t>Dynamic Programming</t>
  </si>
  <si>
    <t>Geometry</t>
  </si>
  <si>
    <t>Graphs</t>
  </si>
  <si>
    <t>Greedy</t>
  </si>
  <si>
    <t>Search</t>
  </si>
  <si>
    <t>Sorting</t>
  </si>
  <si>
    <t>String</t>
  </si>
  <si>
    <t>MHA-MIN (260517-1) AVG</t>
  </si>
  <si>
    <t>MHA-128 (260517-1) STD</t>
  </si>
  <si>
    <t>MHA-NOLSTM (0520) AVG</t>
  </si>
  <si>
    <t>MHA-NOLSTM (0520) STD</t>
  </si>
  <si>
    <t>MHA-MAX (0524-30) AVG</t>
  </si>
  <si>
    <t>MHA-MAX (0524-30) STD</t>
  </si>
  <si>
    <t>GRU-MIN (260523-28) AVG</t>
  </si>
  <si>
    <t>GRU-128 (260523-28) STD</t>
  </si>
  <si>
    <t>NONE-MIN (260514-27) AVG</t>
  </si>
  <si>
    <t>NONE-MIN (260514-27) STD</t>
  </si>
  <si>
    <t>MHAD-BEST</t>
  </si>
  <si>
    <t>D-BEST</t>
  </si>
  <si>
    <t>MHA-MIN (0517-1) AVG</t>
  </si>
  <si>
    <t>MHA-MIN (260517-1) STD</t>
  </si>
  <si>
    <t>MHAD-MAX (0524-30) 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</si>
</sst>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5">
    <font>
      <sz val="10.0"/>
      <color rgb="FF000000"/>
      <name val="Arial"/>
      <scheme val="minor"/>
    </font>
    <font>
      <b/>
      <color theme="1"/>
      <name val="Arial"/>
    </font>
    <font>
      <b/>
      <color rgb="FFFFFFFF"/>
      <name val="Arial"/>
      <scheme val="minor"/>
    </font>
    <font>
      <color theme="1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3C78D8"/>
        <bgColor rgb="FF3C78D8"/>
      </patternFill>
    </fill>
    <fill>
      <patternFill patternType="solid">
        <fgColor rgb="FFB4A7D6"/>
        <bgColor rgb="FFB4A7D6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10" xfId="0" applyAlignment="1" applyFill="1" applyFont="1" applyNumberForma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2" fontId="3" numFmtId="0" xfId="0" applyAlignment="1" applyFont="1">
      <alignment vertical="bottom"/>
    </xf>
    <xf borderId="0" fillId="4" fontId="2" numFmtId="10" xfId="0" applyAlignment="1" applyFont="1" applyNumberFormat="1">
      <alignment horizontal="center" readingOrder="0"/>
    </xf>
    <xf borderId="0" fillId="5" fontId="3" numFmtId="10" xfId="0" applyAlignment="1" applyFill="1" applyFont="1" applyNumberFormat="1">
      <alignment horizontal="right" readingOrder="0" vertical="bottom"/>
    </xf>
    <xf borderId="0" fillId="0" fontId="4" numFmtId="10" xfId="0" applyAlignment="1" applyFont="1" applyNumberFormat="1">
      <alignment readingOrder="0"/>
    </xf>
    <xf borderId="0" fillId="5" fontId="4" numFmtId="10" xfId="0" applyAlignment="1" applyFont="1" applyNumberFormat="1">
      <alignment readingOrder="0"/>
    </xf>
    <xf borderId="0" fillId="6" fontId="3" numFmtId="10" xfId="0" applyAlignment="1" applyFill="1" applyFont="1" applyNumberFormat="1">
      <alignment horizontal="right" readingOrder="0" vertical="bottom"/>
    </xf>
    <xf borderId="0" fillId="0" fontId="4" numFmtId="10" xfId="0" applyFont="1" applyNumberFormat="1"/>
    <xf borderId="0" fillId="2" fontId="1" numFmtId="164" xfId="0" applyAlignment="1" applyFont="1" applyNumberFormat="1">
      <alignment vertical="bottom"/>
    </xf>
    <xf borderId="0" fillId="2" fontId="3" numFmtId="164" xfId="0" applyAlignment="1" applyFont="1" applyNumberFormat="1">
      <alignment vertical="bottom"/>
    </xf>
    <xf borderId="0" fillId="0" fontId="3" numFmtId="10" xfId="0" applyAlignment="1" applyFont="1" applyNumberFormat="1">
      <alignment vertical="bottom"/>
    </xf>
    <xf borderId="0" fillId="5" fontId="1" numFmtId="10" xfId="0" applyAlignment="1" applyFont="1" applyNumberFormat="1">
      <alignment horizontal="right" vertical="bottom"/>
    </xf>
    <xf borderId="0" fillId="5" fontId="3" numFmtId="10" xfId="0" applyAlignment="1" applyFont="1" applyNumberFormat="1">
      <alignment vertical="bottom"/>
    </xf>
    <xf borderId="0" fillId="7" fontId="2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9" fontId="2" numFmtId="0" xfId="0" applyAlignment="1" applyFill="1" applyFont="1">
      <alignment horizontal="center" readingOrder="0"/>
    </xf>
    <xf borderId="0" fillId="5" fontId="4" numFmtId="10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25"/>
    <col customWidth="1" min="2" max="6" width="20.88"/>
    <col customWidth="1" min="7" max="8" width="14.63"/>
    <col customWidth="1" min="9" max="9" width="20.88"/>
    <col customWidth="1" min="10" max="10" width="21.13"/>
    <col customWidth="1" min="11" max="12" width="20.25"/>
    <col customWidth="1" min="13" max="14" width="14.38"/>
    <col customWidth="1" min="15" max="17" width="20.88"/>
    <col customWidth="1" min="18" max="18" width="13.75"/>
    <col customWidth="1" min="20" max="20" width="21.38"/>
    <col customWidth="1" min="21" max="22" width="21.0"/>
  </cols>
  <sheetData>
    <row r="1">
      <c r="A1" s="1" t="s">
        <v>0</v>
      </c>
      <c r="B1" s="2" t="s">
        <v>9</v>
      </c>
      <c r="C1" s="4" t="s">
        <v>10</v>
      </c>
      <c r="D1" s="4" t="s">
        <v>12</v>
      </c>
      <c r="E1" s="4" t="s">
        <v>15</v>
      </c>
      <c r="F1" s="4" t="s">
        <v>16</v>
      </c>
      <c r="G1" s="6" t="s">
        <v>8</v>
      </c>
      <c r="H1" s="6" t="s">
        <v>20</v>
      </c>
      <c r="I1" s="4" t="s">
        <v>21</v>
      </c>
      <c r="J1" s="4" t="s">
        <v>22</v>
      </c>
      <c r="K1" s="2" t="s">
        <v>24</v>
      </c>
      <c r="L1" s="4" t="s">
        <v>25</v>
      </c>
      <c r="M1" s="6" t="s">
        <v>8</v>
      </c>
      <c r="N1" s="6" t="s">
        <v>20</v>
      </c>
      <c r="O1" s="4" t="s">
        <v>26</v>
      </c>
      <c r="P1" s="4" t="s">
        <v>27</v>
      </c>
      <c r="Q1" s="4" t="s">
        <v>28</v>
      </c>
      <c r="R1" s="6" t="s">
        <v>8</v>
      </c>
      <c r="S1" s="6" t="s">
        <v>20</v>
      </c>
      <c r="T1" s="2" t="s">
        <v>29</v>
      </c>
      <c r="U1" s="4" t="s">
        <v>30</v>
      </c>
      <c r="V1" s="4" t="s">
        <v>31</v>
      </c>
      <c r="W1" s="6" t="s">
        <v>8</v>
      </c>
      <c r="X1" s="6" t="s">
        <v>20</v>
      </c>
    </row>
    <row r="2">
      <c r="A2" s="5" t="s">
        <v>17</v>
      </c>
      <c r="B2" s="7">
        <v>0.897810218978102</v>
      </c>
      <c r="C2" s="10">
        <v>0.943942133815551</v>
      </c>
      <c r="D2" s="9">
        <v>0.910683012259194</v>
      </c>
      <c r="E2" s="9">
        <v>0.906422018348623</v>
      </c>
      <c r="F2" s="9">
        <v>0.907142857142857</v>
      </c>
      <c r="G2" s="9">
        <f t="shared" ref="G2:G34" si="1">AVERAGE(D2:F2)</f>
        <v>0.9080826293</v>
      </c>
      <c r="H2" s="9">
        <f t="shared" ref="H2:H34" si="2">STDEV(D2:F2)</f>
        <v>0.00228065692</v>
      </c>
      <c r="I2" s="9">
        <v>0.897058823529411</v>
      </c>
      <c r="J2" s="8">
        <v>0.862478777589134</v>
      </c>
      <c r="K2" s="8">
        <v>0.835443037974683</v>
      </c>
      <c r="L2" s="8">
        <v>0.809106830122592</v>
      </c>
      <c r="M2" s="11">
        <f t="shared" ref="M2:M34" si="3">average(J2:L2)</f>
        <v>0.8356762152</v>
      </c>
      <c r="N2" s="11">
        <f t="shared" ref="N2:N34" si="4">STDEV(J2:L2)</f>
        <v>0.02668673777</v>
      </c>
      <c r="O2" s="7">
        <v>0.863481228668942</v>
      </c>
      <c r="P2" s="7">
        <v>0.890034364261168</v>
      </c>
      <c r="Q2" s="7">
        <v>0.943119266055045</v>
      </c>
      <c r="R2" s="11">
        <f t="shared" ref="R2:R34" si="5">AVERAGE(O2:Q2)</f>
        <v>0.8988782863</v>
      </c>
      <c r="S2" s="11">
        <f t="shared" ref="S2:S34" si="6">STDEV(O2:Q2)</f>
        <v>0.04054892684</v>
      </c>
      <c r="T2" s="8">
        <v>0.899653979238754</v>
      </c>
      <c r="U2" s="8">
        <v>0.908765652951699</v>
      </c>
      <c r="V2" s="8">
        <v>0.872727272727272</v>
      </c>
      <c r="W2" s="11">
        <f t="shared" ref="W2:W34" si="7">AVERAGE(T2:V2)</f>
        <v>0.893715635</v>
      </c>
      <c r="X2" s="11">
        <f t="shared" ref="X2:X34" si="8">STDEV(T2:V2)</f>
        <v>0.01873870758</v>
      </c>
    </row>
    <row r="3">
      <c r="A3" s="5" t="s">
        <v>32</v>
      </c>
      <c r="B3" s="7">
        <v>0.717213114754098</v>
      </c>
      <c r="C3" s="10">
        <v>0.94847775175644</v>
      </c>
      <c r="D3" s="9">
        <v>0.913486005089058</v>
      </c>
      <c r="E3" s="9">
        <v>0.855</v>
      </c>
      <c r="F3" s="9">
        <v>0.874055415617128</v>
      </c>
      <c r="G3" s="9">
        <f t="shared" si="1"/>
        <v>0.8808471402</v>
      </c>
      <c r="H3" s="9">
        <f t="shared" si="2"/>
        <v>0.02982865804</v>
      </c>
      <c r="I3" s="9">
        <v>0.850210970464135</v>
      </c>
      <c r="J3" s="8">
        <v>0.694915254237288</v>
      </c>
      <c r="K3" s="8">
        <v>0.872685185185185</v>
      </c>
      <c r="L3" s="8">
        <v>0.851435705368289</v>
      </c>
      <c r="M3" s="11">
        <f t="shared" si="3"/>
        <v>0.8063453816</v>
      </c>
      <c r="N3" s="11">
        <f t="shared" si="4"/>
        <v>0.09708444809</v>
      </c>
      <c r="O3" s="7">
        <v>0.868757259001161</v>
      </c>
      <c r="P3" s="7">
        <v>0.870530209617755</v>
      </c>
      <c r="Q3" s="7">
        <v>0.9167671893848</v>
      </c>
      <c r="R3" s="11">
        <f t="shared" si="5"/>
        <v>0.8853515527</v>
      </c>
      <c r="S3" s="11">
        <f t="shared" si="6"/>
        <v>0.02722117762</v>
      </c>
      <c r="T3" s="8">
        <v>0.900226757369614</v>
      </c>
      <c r="U3" s="8">
        <v>0.87039239001189</v>
      </c>
      <c r="V3" s="8">
        <v>0.902777777777777</v>
      </c>
      <c r="W3" s="11">
        <f t="shared" si="7"/>
        <v>0.8911323084</v>
      </c>
      <c r="X3" s="11">
        <f t="shared" si="8"/>
        <v>0.01800652901</v>
      </c>
    </row>
    <row r="4">
      <c r="A4" s="5" t="s">
        <v>36</v>
      </c>
      <c r="B4" s="7">
        <v>0.91943359375</v>
      </c>
      <c r="C4" s="7">
        <v>0.76123046875</v>
      </c>
      <c r="D4" s="9">
        <v>0.87939453125</v>
      </c>
      <c r="E4" s="9">
        <v>0.93359375</v>
      </c>
      <c r="F4" s="9">
        <v>0.94287109375</v>
      </c>
      <c r="G4" s="9">
        <f t="shared" si="1"/>
        <v>0.9186197917</v>
      </c>
      <c r="H4" s="9">
        <f t="shared" si="2"/>
        <v>0.03428531855</v>
      </c>
      <c r="I4" s="9">
        <v>0.8388671875</v>
      </c>
      <c r="J4" s="8">
        <v>0.9013671875</v>
      </c>
      <c r="K4" s="8">
        <v>0.82470703125</v>
      </c>
      <c r="L4" s="8">
        <v>0.89404296875</v>
      </c>
      <c r="M4" s="11">
        <f t="shared" si="3"/>
        <v>0.8733723958</v>
      </c>
      <c r="N4" s="11">
        <f t="shared" si="4"/>
        <v>0.04230424716</v>
      </c>
      <c r="O4" s="7">
        <v>0.93017578125</v>
      </c>
      <c r="P4" s="7">
        <v>0.95166015625</v>
      </c>
      <c r="Q4" s="7">
        <v>0.9423828125</v>
      </c>
      <c r="R4" s="11">
        <f t="shared" si="5"/>
        <v>0.94140625</v>
      </c>
      <c r="S4" s="11">
        <f t="shared" si="6"/>
        <v>0.01077542797</v>
      </c>
      <c r="T4" s="8">
        <v>0.91650390625</v>
      </c>
      <c r="U4" s="8">
        <v>0.88232421875</v>
      </c>
      <c r="V4" s="8">
        <v>0.876953125</v>
      </c>
      <c r="W4" s="11">
        <f t="shared" si="7"/>
        <v>0.8919270833</v>
      </c>
      <c r="X4" s="11">
        <f t="shared" si="8"/>
        <v>0.02145290961</v>
      </c>
    </row>
    <row r="5">
      <c r="A5" s="5" t="s">
        <v>39</v>
      </c>
      <c r="B5" s="7">
        <v>0.99169921875</v>
      </c>
      <c r="C5" s="7">
        <v>0.99755859375</v>
      </c>
      <c r="D5" s="9">
        <v>0.99853515625</v>
      </c>
      <c r="E5" s="9">
        <v>0.99755859375</v>
      </c>
      <c r="F5" s="9">
        <v>0.9970703125</v>
      </c>
      <c r="G5" s="9">
        <f t="shared" si="1"/>
        <v>0.9977213542</v>
      </c>
      <c r="H5" s="9">
        <f t="shared" si="2"/>
        <v>0.0007458619295</v>
      </c>
      <c r="I5" s="9">
        <v>1.0</v>
      </c>
      <c r="J5" s="8">
        <v>0.98046875</v>
      </c>
      <c r="K5" s="8">
        <v>0.99755859375</v>
      </c>
      <c r="L5" s="8">
        <v>0.99755859375</v>
      </c>
      <c r="M5" s="11">
        <f t="shared" si="3"/>
        <v>0.9918619792</v>
      </c>
      <c r="N5" s="11">
        <f t="shared" si="4"/>
        <v>0.009866825889</v>
      </c>
      <c r="O5" s="7">
        <v>0.99560546875</v>
      </c>
      <c r="P5" s="7">
        <v>0.99755859375</v>
      </c>
      <c r="Q5" s="7">
        <v>0.9873046875</v>
      </c>
      <c r="R5" s="11">
        <f t="shared" si="5"/>
        <v>0.9934895833</v>
      </c>
      <c r="S5" s="11">
        <f t="shared" si="6"/>
        <v>0.005444573139</v>
      </c>
      <c r="T5" s="8">
        <v>0.99951171875</v>
      </c>
      <c r="U5" s="8">
        <v>0.99560546875</v>
      </c>
      <c r="V5" s="8">
        <v>0.99853515625</v>
      </c>
      <c r="W5" s="11">
        <f t="shared" si="7"/>
        <v>0.9978841146</v>
      </c>
      <c r="X5" s="11">
        <f t="shared" si="8"/>
        <v>0.002032876953</v>
      </c>
    </row>
    <row r="6">
      <c r="A6" s="5" t="s">
        <v>41</v>
      </c>
      <c r="B6" s="7">
        <v>0.8642578125</v>
      </c>
      <c r="C6" s="7">
        <v>0.6923828125</v>
      </c>
      <c r="D6" s="9">
        <v>0.85107421875</v>
      </c>
      <c r="E6" s="9">
        <v>0.8740234375</v>
      </c>
      <c r="F6" s="9">
        <v>0.87353515625</v>
      </c>
      <c r="G6" s="9">
        <f t="shared" si="1"/>
        <v>0.8662109375</v>
      </c>
      <c r="H6" s="9">
        <f t="shared" si="2"/>
        <v>0.01311105623</v>
      </c>
      <c r="I6" s="9">
        <v>0.8388671875</v>
      </c>
      <c r="J6" s="8">
        <v>0.72509765625</v>
      </c>
      <c r="K6" s="8">
        <v>0.76708984375</v>
      </c>
      <c r="L6" s="8">
        <v>0.80029296875</v>
      </c>
      <c r="M6" s="11">
        <f t="shared" si="3"/>
        <v>0.7641601563</v>
      </c>
      <c r="N6" s="11">
        <f t="shared" si="4"/>
        <v>0.03768316676</v>
      </c>
      <c r="O6" s="7">
        <v>0.89453125</v>
      </c>
      <c r="P6" s="7">
        <v>0.818359375</v>
      </c>
      <c r="Q6" s="7">
        <v>0.86376953125</v>
      </c>
      <c r="R6" s="11">
        <f t="shared" si="5"/>
        <v>0.8588867188</v>
      </c>
      <c r="S6" s="11">
        <f t="shared" si="6"/>
        <v>0.03831996906</v>
      </c>
      <c r="T6" s="8">
        <v>0.76611328125</v>
      </c>
      <c r="U6" s="8">
        <v>0.9033203125</v>
      </c>
      <c r="V6" s="8">
        <v>0.84619140625</v>
      </c>
      <c r="W6" s="11">
        <f t="shared" si="7"/>
        <v>0.8385416667</v>
      </c>
      <c r="X6" s="11">
        <f t="shared" si="8"/>
        <v>0.06892264681</v>
      </c>
    </row>
    <row r="7">
      <c r="A7" s="5" t="s">
        <v>44</v>
      </c>
      <c r="B7" s="7">
        <v>0.977066666666666</v>
      </c>
      <c r="C7" s="7">
        <v>0.929717764250138</v>
      </c>
      <c r="D7" s="9">
        <v>0.932794340576048</v>
      </c>
      <c r="E7" s="9">
        <v>0.964730290456431</v>
      </c>
      <c r="F7" s="9">
        <v>0.954639175257732</v>
      </c>
      <c r="G7" s="9">
        <f t="shared" si="1"/>
        <v>0.9507212688</v>
      </c>
      <c r="H7" s="9">
        <f t="shared" si="2"/>
        <v>0.01632448214</v>
      </c>
      <c r="I7" s="9">
        <v>0.956967213114754</v>
      </c>
      <c r="J7" s="8">
        <v>0.836153161175423</v>
      </c>
      <c r="K7" s="8">
        <v>0.895992366412213</v>
      </c>
      <c r="L7" s="8">
        <v>0.732290708371665</v>
      </c>
      <c r="M7" s="11">
        <f t="shared" si="3"/>
        <v>0.8214787453</v>
      </c>
      <c r="N7" s="11">
        <f t="shared" si="4"/>
        <v>0.08283152825</v>
      </c>
      <c r="O7" s="7">
        <v>0.877934272300469</v>
      </c>
      <c r="P7" s="7">
        <v>0.950682056663169</v>
      </c>
      <c r="Q7" s="7">
        <v>0.890748031496063</v>
      </c>
      <c r="R7" s="11">
        <f t="shared" si="5"/>
        <v>0.9064547868</v>
      </c>
      <c r="S7" s="11">
        <f t="shared" si="6"/>
        <v>0.0388340914</v>
      </c>
      <c r="T7" s="8">
        <v>0.93740300051733</v>
      </c>
      <c r="U7" s="8">
        <v>0.936254980079681</v>
      </c>
      <c r="V7" s="8">
        <v>0.962312854930304</v>
      </c>
      <c r="W7" s="11">
        <f t="shared" si="7"/>
        <v>0.9453236118</v>
      </c>
      <c r="X7" s="11">
        <f t="shared" si="8"/>
        <v>0.01472430892</v>
      </c>
    </row>
    <row r="8">
      <c r="A8" s="5" t="s">
        <v>23</v>
      </c>
      <c r="B8" s="7">
        <v>0.6923828125</v>
      </c>
      <c r="C8" s="7">
        <v>0.01513671875</v>
      </c>
      <c r="D8" s="9">
        <v>0.873046875</v>
      </c>
      <c r="E8" s="9">
        <v>0.8212890625</v>
      </c>
      <c r="F8" s="9">
        <v>0.751953125</v>
      </c>
      <c r="G8" s="9">
        <f t="shared" si="1"/>
        <v>0.8154296875</v>
      </c>
      <c r="H8" s="9">
        <f t="shared" si="2"/>
        <v>0.06075914152</v>
      </c>
      <c r="I8" s="9">
        <v>0.81591796875</v>
      </c>
      <c r="J8" s="8">
        <v>0.8115234375</v>
      </c>
      <c r="K8" s="8">
        <v>0.67578125</v>
      </c>
      <c r="L8" s="8">
        <v>0.69482421875</v>
      </c>
      <c r="M8" s="11">
        <f t="shared" si="3"/>
        <v>0.7273763021</v>
      </c>
      <c r="N8" s="11">
        <f t="shared" si="4"/>
        <v>0.0734929518</v>
      </c>
      <c r="O8" s="7">
        <v>0.8935546875</v>
      </c>
      <c r="P8" s="7">
        <v>0.83447265625</v>
      </c>
      <c r="Q8" s="7">
        <v>0.7763671875</v>
      </c>
      <c r="R8" s="11">
        <f t="shared" si="5"/>
        <v>0.8347981771</v>
      </c>
      <c r="S8" s="11">
        <f t="shared" si="6"/>
        <v>0.05859442816</v>
      </c>
      <c r="T8" s="8">
        <v>0.8330078125</v>
      </c>
      <c r="U8" s="8">
        <v>0.72021484375</v>
      </c>
      <c r="V8" s="8">
        <v>0.59375</v>
      </c>
      <c r="W8" s="11">
        <f t="shared" si="7"/>
        <v>0.7156575521</v>
      </c>
      <c r="X8" s="11">
        <f t="shared" si="8"/>
        <v>0.1196939927</v>
      </c>
    </row>
    <row r="9">
      <c r="A9" s="5" t="s">
        <v>33</v>
      </c>
      <c r="B9" s="7">
        <v>0.916015625</v>
      </c>
      <c r="C9" s="10">
        <v>0.97509765625</v>
      </c>
      <c r="D9" s="9">
        <v>0.95068359375</v>
      </c>
      <c r="E9" s="9">
        <v>0.93603515625</v>
      </c>
      <c r="F9" s="9">
        <v>0.9326171875</v>
      </c>
      <c r="G9" s="9">
        <f t="shared" si="1"/>
        <v>0.9397786458</v>
      </c>
      <c r="H9" s="9">
        <f t="shared" si="2"/>
        <v>0.009597345695</v>
      </c>
      <c r="I9" s="9">
        <v>0.93408203125</v>
      </c>
      <c r="J9" s="8">
        <v>0.939453125</v>
      </c>
      <c r="K9" s="8">
        <v>0.90283203125</v>
      </c>
      <c r="L9" s="8">
        <v>0.92626953125</v>
      </c>
      <c r="M9" s="11">
        <f t="shared" si="3"/>
        <v>0.9228515625</v>
      </c>
      <c r="N9" s="11">
        <f t="shared" si="4"/>
        <v>0.01854826163</v>
      </c>
      <c r="O9" s="7">
        <v>0.9169921875</v>
      </c>
      <c r="P9" s="7">
        <v>0.91943359375</v>
      </c>
      <c r="Q9" s="7">
        <v>0.9267578125</v>
      </c>
      <c r="R9" s="11">
        <f t="shared" si="5"/>
        <v>0.9210611979</v>
      </c>
      <c r="S9" s="11">
        <f t="shared" si="6"/>
        <v>0.005082192382</v>
      </c>
      <c r="T9" s="8">
        <v>0.89501953125</v>
      </c>
      <c r="U9" s="8">
        <v>0.9296875</v>
      </c>
      <c r="V9" s="8">
        <v>0.916015625</v>
      </c>
      <c r="W9" s="11">
        <f t="shared" si="7"/>
        <v>0.9135742188</v>
      </c>
      <c r="X9" s="11">
        <f t="shared" si="8"/>
        <v>0.0174624558</v>
      </c>
    </row>
    <row r="10">
      <c r="A10" s="5" t="s">
        <v>35</v>
      </c>
      <c r="B10" s="7">
        <v>0.275390625</v>
      </c>
      <c r="C10" s="7">
        <v>0.4404296875</v>
      </c>
      <c r="D10" s="9">
        <v>0.30126953125</v>
      </c>
      <c r="E10" s="9">
        <v>0.29248046875</v>
      </c>
      <c r="F10" s="9">
        <v>0.333984375</v>
      </c>
      <c r="G10" s="9">
        <f t="shared" si="1"/>
        <v>0.3092447917</v>
      </c>
      <c r="H10" s="9">
        <f t="shared" si="2"/>
        <v>0.02187114863</v>
      </c>
      <c r="I10" s="9">
        <v>0.345703125</v>
      </c>
      <c r="J10" s="8">
        <v>0.3603515625</v>
      </c>
      <c r="K10" s="8">
        <v>0.30908203125</v>
      </c>
      <c r="L10" s="8">
        <v>0.3759765625</v>
      </c>
      <c r="M10" s="11">
        <f t="shared" si="3"/>
        <v>0.3484700521</v>
      </c>
      <c r="N10" s="11">
        <f t="shared" si="4"/>
        <v>0.0349942466</v>
      </c>
      <c r="O10" s="7">
        <v>0.14599609375</v>
      </c>
      <c r="P10" s="7">
        <v>0.322265625</v>
      </c>
      <c r="Q10" s="7">
        <v>0.2607421875</v>
      </c>
      <c r="R10" s="11">
        <f t="shared" si="5"/>
        <v>0.2430013021</v>
      </c>
      <c r="S10" s="11">
        <f t="shared" si="6"/>
        <v>0.08946390989</v>
      </c>
      <c r="T10" s="8">
        <v>0.36962890625</v>
      </c>
      <c r="U10" s="8">
        <v>0.39990234375</v>
      </c>
      <c r="V10" s="8">
        <v>0.31884765625</v>
      </c>
      <c r="W10" s="11">
        <f t="shared" si="7"/>
        <v>0.3627929688</v>
      </c>
      <c r="X10" s="11">
        <f t="shared" si="8"/>
        <v>0.04095745503</v>
      </c>
    </row>
    <row r="11">
      <c r="A11" s="5" t="s">
        <v>48</v>
      </c>
      <c r="B11" s="7">
        <v>0.953125</v>
      </c>
      <c r="C11" s="7">
        <v>0.9599609375</v>
      </c>
      <c r="D11" s="9">
        <v>0.95751953125</v>
      </c>
      <c r="E11" s="9">
        <v>0.9521484375</v>
      </c>
      <c r="F11" s="9">
        <v>0.95458984375</v>
      </c>
      <c r="G11" s="9">
        <f t="shared" si="1"/>
        <v>0.9547526042</v>
      </c>
      <c r="H11" s="9">
        <f t="shared" si="2"/>
        <v>0.002689243431</v>
      </c>
      <c r="I11" s="9">
        <v>0.92822265625</v>
      </c>
      <c r="J11" s="8">
        <v>0.9345703125</v>
      </c>
      <c r="K11" s="8">
        <v>0.9384765625</v>
      </c>
      <c r="L11" s="8">
        <v>0.931640625</v>
      </c>
      <c r="M11" s="11">
        <f t="shared" si="3"/>
        <v>0.9348958333</v>
      </c>
      <c r="N11" s="11">
        <f t="shared" si="4"/>
        <v>0.003429574789</v>
      </c>
      <c r="O11" s="7">
        <v>0.94580078125</v>
      </c>
      <c r="P11" s="7">
        <v>0.92919921875</v>
      </c>
      <c r="Q11" s="7">
        <v>0.94970703125</v>
      </c>
      <c r="R11" s="11">
        <f t="shared" si="5"/>
        <v>0.9415690104</v>
      </c>
      <c r="S11" s="11">
        <f t="shared" si="6"/>
        <v>0.01088914628</v>
      </c>
      <c r="T11" s="8">
        <v>0.962890625</v>
      </c>
      <c r="U11" s="8">
        <v>0.9248046875</v>
      </c>
      <c r="V11" s="8">
        <v>0.94677734375</v>
      </c>
      <c r="W11" s="11">
        <f t="shared" si="7"/>
        <v>0.9448242188</v>
      </c>
      <c r="X11" s="11">
        <f t="shared" si="8"/>
        <v>0.01911794136</v>
      </c>
    </row>
    <row r="12">
      <c r="A12" s="5" t="s">
        <v>49</v>
      </c>
      <c r="B12" s="7">
        <v>0.48828125</v>
      </c>
      <c r="C12" s="7">
        <v>0.61328125</v>
      </c>
      <c r="D12" s="9">
        <v>0.60546875</v>
      </c>
      <c r="E12" s="9">
        <v>0.6005859375</v>
      </c>
      <c r="F12" s="9">
        <v>0.5712890625</v>
      </c>
      <c r="G12" s="9">
        <f t="shared" si="1"/>
        <v>0.5924479167</v>
      </c>
      <c r="H12" s="9">
        <f t="shared" si="2"/>
        <v>0.01848602977</v>
      </c>
      <c r="I12" s="9">
        <v>0.6044921875</v>
      </c>
      <c r="J12" s="8">
        <v>0.6064453125</v>
      </c>
      <c r="K12" s="8">
        <v>0.56201171875</v>
      </c>
      <c r="L12" s="8">
        <v>0.6025390625</v>
      </c>
      <c r="M12" s="11">
        <f t="shared" si="3"/>
        <v>0.5903320313</v>
      </c>
      <c r="N12" s="11">
        <f t="shared" si="4"/>
        <v>0.02460375525</v>
      </c>
      <c r="O12" s="7">
        <v>0.59716796875</v>
      </c>
      <c r="P12" s="7">
        <v>0.60986328125</v>
      </c>
      <c r="Q12" s="7">
        <v>0.58056640625</v>
      </c>
      <c r="R12" s="11">
        <f t="shared" si="5"/>
        <v>0.5958658854</v>
      </c>
      <c r="S12" s="11">
        <f t="shared" si="6"/>
        <v>0.01469177617</v>
      </c>
      <c r="T12" s="8">
        <v>0.49560546875</v>
      </c>
      <c r="U12" s="8">
        <v>0.60107421875</v>
      </c>
      <c r="V12" s="8">
        <v>0.60205078125</v>
      </c>
      <c r="W12" s="11">
        <f t="shared" si="7"/>
        <v>0.5662434896</v>
      </c>
      <c r="X12" s="11">
        <f t="shared" si="8"/>
        <v>0.06117626917</v>
      </c>
    </row>
    <row r="13">
      <c r="A13" s="5" t="s">
        <v>37</v>
      </c>
      <c r="B13" s="7">
        <v>0.309852600097656</v>
      </c>
      <c r="C13" s="7">
        <v>0.3797607421875</v>
      </c>
      <c r="D13" s="9">
        <v>0.309768676757812</v>
      </c>
      <c r="E13" s="9">
        <v>0.30694580078125</v>
      </c>
      <c r="F13" s="9">
        <v>0.300590515136718</v>
      </c>
      <c r="G13" s="9">
        <f t="shared" si="1"/>
        <v>0.3057683309</v>
      </c>
      <c r="H13" s="9">
        <f t="shared" si="2"/>
        <v>0.00470100938</v>
      </c>
      <c r="I13" s="9">
        <v>0.280975341796875</v>
      </c>
      <c r="J13" s="8">
        <v>0.306427001953125</v>
      </c>
      <c r="K13" s="8">
        <v>0.300857543945312</v>
      </c>
      <c r="L13" s="8">
        <v>0.292289733886718</v>
      </c>
      <c r="M13" s="11">
        <f t="shared" si="3"/>
        <v>0.2998580933</v>
      </c>
      <c r="N13" s="11">
        <f t="shared" si="4"/>
        <v>0.007121429867</v>
      </c>
      <c r="O13" s="7">
        <v>0.313705444335937</v>
      </c>
      <c r="P13" s="7">
        <v>0.335739135742187</v>
      </c>
      <c r="Q13" s="7">
        <v>0.291526794433593</v>
      </c>
      <c r="R13" s="11">
        <f t="shared" si="5"/>
        <v>0.3136571248</v>
      </c>
      <c r="S13" s="11">
        <f t="shared" si="6"/>
        <v>0.02210621026</v>
      </c>
      <c r="T13" s="8">
        <v>0.294212341308593</v>
      </c>
      <c r="U13" s="8">
        <v>0.282012939453125</v>
      </c>
      <c r="V13" s="8">
        <v>0.274406433105468</v>
      </c>
      <c r="W13" s="11">
        <f t="shared" si="7"/>
        <v>0.2835439046</v>
      </c>
      <c r="X13" s="11">
        <f t="shared" si="8"/>
        <v>0.009991315764</v>
      </c>
    </row>
    <row r="14">
      <c r="A14" s="5" t="s">
        <v>40</v>
      </c>
      <c r="B14" s="7">
        <v>0.859956236323851</v>
      </c>
      <c r="C14" s="10">
        <v>0.9375</v>
      </c>
      <c r="D14" s="9">
        <v>0.891656288916563</v>
      </c>
      <c r="E14" s="9">
        <v>0.86398258977149</v>
      </c>
      <c r="F14" s="9">
        <v>0.883392226148409</v>
      </c>
      <c r="G14" s="9">
        <f t="shared" si="1"/>
        <v>0.8796770349</v>
      </c>
      <c r="H14" s="9">
        <f t="shared" si="2"/>
        <v>0.01420599839</v>
      </c>
      <c r="I14" s="9">
        <v>0.939644970414201</v>
      </c>
      <c r="J14" s="8">
        <v>0.903078677309008</v>
      </c>
      <c r="K14" s="8">
        <v>0.886107634543179</v>
      </c>
      <c r="L14" s="8">
        <v>0.901916572717023</v>
      </c>
      <c r="M14" s="11">
        <f t="shared" si="3"/>
        <v>0.8970342949</v>
      </c>
      <c r="N14" s="11">
        <f t="shared" si="4"/>
        <v>0.009480588113</v>
      </c>
      <c r="O14" s="7">
        <v>0.894009216589861</v>
      </c>
      <c r="P14" s="7">
        <v>0.935034802784222</v>
      </c>
      <c r="Q14" s="7">
        <v>0.919042189281641</v>
      </c>
      <c r="R14" s="11">
        <f t="shared" si="5"/>
        <v>0.9160287362</v>
      </c>
      <c r="S14" s="11">
        <f t="shared" si="6"/>
        <v>0.02067813713</v>
      </c>
      <c r="T14" s="8">
        <v>0.905797101449275</v>
      </c>
      <c r="U14" s="8">
        <v>0.908466819221968</v>
      </c>
      <c r="V14" s="8">
        <v>0.921968787515006</v>
      </c>
      <c r="W14" s="11">
        <f t="shared" si="7"/>
        <v>0.9120775694</v>
      </c>
      <c r="X14" s="11">
        <f t="shared" si="8"/>
        <v>0.008669428768</v>
      </c>
    </row>
    <row r="15">
      <c r="A15" s="5" t="s">
        <v>34</v>
      </c>
      <c r="B15" s="7">
        <v>0.67578125</v>
      </c>
      <c r="C15" s="7">
        <v>0.7509765625</v>
      </c>
      <c r="D15" s="9">
        <v>0.619140625</v>
      </c>
      <c r="E15" s="9">
        <v>0.52099609375</v>
      </c>
      <c r="F15" s="9">
        <v>0.86474609375</v>
      </c>
      <c r="G15" s="9">
        <f t="shared" si="1"/>
        <v>0.6682942708</v>
      </c>
      <c r="H15" s="9">
        <f t="shared" si="2"/>
        <v>0.1770679991</v>
      </c>
      <c r="I15" s="9">
        <v>0.64013671875</v>
      </c>
      <c r="J15" s="8">
        <v>0.892578125</v>
      </c>
      <c r="K15" s="8">
        <v>0.90478515625</v>
      </c>
      <c r="L15" s="8">
        <v>0.86572265625</v>
      </c>
      <c r="M15" s="11">
        <f t="shared" si="3"/>
        <v>0.8876953125</v>
      </c>
      <c r="N15" s="11">
        <f t="shared" si="4"/>
        <v>0.01998377142</v>
      </c>
      <c r="O15" s="7">
        <v>0.69921875</v>
      </c>
      <c r="P15" s="7">
        <v>0.8916015625</v>
      </c>
      <c r="Q15" s="7">
        <v>0.8291015625</v>
      </c>
      <c r="R15" s="11">
        <f t="shared" si="5"/>
        <v>0.806640625</v>
      </c>
      <c r="S15" s="11">
        <f t="shared" si="6"/>
        <v>0.09813845791</v>
      </c>
      <c r="T15" s="8">
        <v>0.4150390625</v>
      </c>
      <c r="U15" s="8">
        <v>0.771484375</v>
      </c>
      <c r="V15" s="8">
        <v>0.525390625</v>
      </c>
      <c r="W15" s="11">
        <f t="shared" si="7"/>
        <v>0.5706380208</v>
      </c>
      <c r="X15" s="11">
        <f t="shared" si="8"/>
        <v>0.1824796162</v>
      </c>
    </row>
    <row r="16">
      <c r="A16" s="5" t="s">
        <v>38</v>
      </c>
      <c r="B16" s="7">
        <v>0.927734375</v>
      </c>
      <c r="C16" s="7">
        <v>0.0166015625</v>
      </c>
      <c r="D16" s="9">
        <v>0.79638671875</v>
      </c>
      <c r="E16" s="9">
        <v>0.8779296875</v>
      </c>
      <c r="F16" s="9">
        <v>0.900390625</v>
      </c>
      <c r="G16" s="9">
        <f t="shared" si="1"/>
        <v>0.8582356771</v>
      </c>
      <c r="H16" s="9">
        <f t="shared" si="2"/>
        <v>0.0547274489</v>
      </c>
      <c r="I16" s="9">
        <v>0.912109375</v>
      </c>
      <c r="J16" s="8">
        <v>0.88330078125</v>
      </c>
      <c r="K16" s="8">
        <v>0.85595703125</v>
      </c>
      <c r="L16" s="8">
        <v>0.57763671875</v>
      </c>
      <c r="M16" s="11">
        <f t="shared" si="3"/>
        <v>0.7722981771</v>
      </c>
      <c r="N16" s="11">
        <f t="shared" si="4"/>
        <v>0.1691352497</v>
      </c>
      <c r="O16" s="7">
        <v>0.88623046875</v>
      </c>
      <c r="P16" s="7">
        <v>0.8349609375</v>
      </c>
      <c r="Q16" s="7">
        <v>0.90771484375</v>
      </c>
      <c r="R16" s="11">
        <f t="shared" si="5"/>
        <v>0.8763020833</v>
      </c>
      <c r="S16" s="11">
        <f t="shared" si="6"/>
        <v>0.03737930372</v>
      </c>
      <c r="T16" s="8">
        <v>0.86767578125</v>
      </c>
      <c r="U16" s="8">
        <v>0.7939453125</v>
      </c>
      <c r="V16" s="8">
        <v>0.91845703125</v>
      </c>
      <c r="W16" s="11">
        <f t="shared" si="7"/>
        <v>0.8600260417</v>
      </c>
      <c r="X16" s="11">
        <f t="shared" si="8"/>
        <v>0.06260735511</v>
      </c>
    </row>
    <row r="17">
      <c r="A17" s="5" t="s">
        <v>50</v>
      </c>
      <c r="B17" s="7">
        <v>0.889132821075741</v>
      </c>
      <c r="C17" s="7">
        <v>0.388571428571428</v>
      </c>
      <c r="D17" s="9">
        <v>0.928899082568807</v>
      </c>
      <c r="E17" s="9">
        <v>0.930177514792899</v>
      </c>
      <c r="F17" s="9">
        <v>0.916083916083916</v>
      </c>
      <c r="G17" s="9">
        <f t="shared" si="1"/>
        <v>0.9250535045</v>
      </c>
      <c r="H17" s="9">
        <f t="shared" si="2"/>
        <v>0.007794147436</v>
      </c>
      <c r="I17" s="9">
        <v>0.914414414414414</v>
      </c>
      <c r="J17" s="8">
        <v>0.915411355735805</v>
      </c>
      <c r="K17" s="8">
        <v>0.931633835457705</v>
      </c>
      <c r="L17" s="8">
        <v>0.931603773584905</v>
      </c>
      <c r="M17" s="11">
        <f t="shared" si="3"/>
        <v>0.9262163216</v>
      </c>
      <c r="N17" s="11">
        <f t="shared" si="4"/>
        <v>0.009357386991</v>
      </c>
      <c r="O17" s="7">
        <v>0.915976331360946</v>
      </c>
      <c r="P17" s="7">
        <v>0.930394431554524</v>
      </c>
      <c r="Q17" s="7">
        <v>0.917537746806039</v>
      </c>
      <c r="R17" s="11">
        <f t="shared" si="5"/>
        <v>0.9213028366</v>
      </c>
      <c r="S17" s="11">
        <f t="shared" si="6"/>
        <v>0.007912163359</v>
      </c>
      <c r="T17" s="8">
        <v>0.918343195266272</v>
      </c>
      <c r="U17" s="8">
        <v>0.943396226415094</v>
      </c>
      <c r="V17" s="8">
        <v>0.928987194412107</v>
      </c>
      <c r="W17" s="11">
        <f t="shared" si="7"/>
        <v>0.9302422054</v>
      </c>
      <c r="X17" s="11">
        <f t="shared" si="8"/>
        <v>0.01257357872</v>
      </c>
    </row>
    <row r="18">
      <c r="A18" s="5" t="s">
        <v>51</v>
      </c>
      <c r="B18" s="7">
        <v>0.5</v>
      </c>
      <c r="C18" s="7">
        <v>0.47509765625</v>
      </c>
      <c r="D18" s="9">
        <v>0.19775390625</v>
      </c>
      <c r="E18" s="9">
        <v>0.2607421875</v>
      </c>
      <c r="F18" s="9">
        <v>0.34130859375</v>
      </c>
      <c r="G18" s="9">
        <f t="shared" si="1"/>
        <v>0.2666015625</v>
      </c>
      <c r="H18" s="9">
        <f t="shared" si="2"/>
        <v>0.07195648881</v>
      </c>
      <c r="I18" s="9">
        <v>0.01025390625</v>
      </c>
      <c r="J18" s="8">
        <v>0.0419921875</v>
      </c>
      <c r="K18" s="8">
        <v>0.09033203125</v>
      </c>
      <c r="L18" s="8">
        <v>0.19189453125</v>
      </c>
      <c r="M18" s="11">
        <f t="shared" si="3"/>
        <v>0.1080729167</v>
      </c>
      <c r="N18" s="11">
        <f t="shared" si="4"/>
        <v>0.07650968845</v>
      </c>
      <c r="O18" s="7">
        <v>0.2802734375</v>
      </c>
      <c r="P18" s="7">
        <v>0.1591796875</v>
      </c>
      <c r="Q18" s="7">
        <v>0.28759765625</v>
      </c>
      <c r="R18" s="11">
        <f t="shared" si="5"/>
        <v>0.2423502604</v>
      </c>
      <c r="S18" s="11">
        <f t="shared" si="6"/>
        <v>0.07212086518</v>
      </c>
      <c r="T18" s="8">
        <v>0.44091796875</v>
      </c>
      <c r="U18" s="8">
        <v>0.45458984375</v>
      </c>
      <c r="V18" s="8">
        <v>0.376953125</v>
      </c>
      <c r="W18" s="11">
        <f t="shared" si="7"/>
        <v>0.4241536458</v>
      </c>
      <c r="X18" s="11">
        <f t="shared" si="8"/>
        <v>0.04144450406</v>
      </c>
    </row>
    <row r="19">
      <c r="A19" s="5" t="s">
        <v>52</v>
      </c>
      <c r="B19" s="7">
        <v>0.84869384765625</v>
      </c>
      <c r="C19" s="7">
        <v>0.7855224609375</v>
      </c>
      <c r="D19" s="9">
        <v>0.84228515625</v>
      </c>
      <c r="E19" s="9">
        <v>0.85906982421875</v>
      </c>
      <c r="F19" s="9">
        <v>0.854949951171875</v>
      </c>
      <c r="G19" s="9">
        <f t="shared" si="1"/>
        <v>0.8521016439</v>
      </c>
      <c r="H19" s="9">
        <f t="shared" si="2"/>
        <v>0.008747337339</v>
      </c>
      <c r="I19" s="9">
        <v>0.861907958984375</v>
      </c>
      <c r="J19" s="8">
        <v>0.8648681640625</v>
      </c>
      <c r="K19" s="8">
        <v>0.85516357421875</v>
      </c>
      <c r="L19" s="8">
        <v>0.866668701171875</v>
      </c>
      <c r="M19" s="11">
        <f t="shared" si="3"/>
        <v>0.8622334798</v>
      </c>
      <c r="N19" s="11">
        <f t="shared" si="4"/>
        <v>0.006188550505</v>
      </c>
      <c r="O19" s="7">
        <v>0.846588134765625</v>
      </c>
      <c r="P19" s="7">
        <v>0.84979248046875</v>
      </c>
      <c r="Q19" s="7">
        <v>0.85089111328125</v>
      </c>
      <c r="R19" s="11">
        <f t="shared" si="5"/>
        <v>0.8490905762</v>
      </c>
      <c r="S19" s="11">
        <f t="shared" si="6"/>
        <v>0.002235712025</v>
      </c>
      <c r="T19" s="8">
        <v>0.86279296875</v>
      </c>
      <c r="U19" s="8">
        <v>0.863861083984375</v>
      </c>
      <c r="V19" s="8">
        <v>0.850860595703125</v>
      </c>
      <c r="W19" s="11">
        <f t="shared" si="7"/>
        <v>0.8591715495</v>
      </c>
      <c r="X19" s="11">
        <f t="shared" si="8"/>
        <v>0.007217283564</v>
      </c>
    </row>
    <row r="20">
      <c r="A20" s="5" t="s">
        <v>53</v>
      </c>
      <c r="B20" s="7">
        <v>0.898139953613281</v>
      </c>
      <c r="C20" s="7">
        <v>0.0763015747070312</v>
      </c>
      <c r="D20" s="9">
        <v>0.88909912109375</v>
      </c>
      <c r="E20" s="9">
        <v>0.893142700195312</v>
      </c>
      <c r="F20" s="9">
        <v>0.885276794433593</v>
      </c>
      <c r="G20" s="9">
        <f t="shared" si="1"/>
        <v>0.8891728719</v>
      </c>
      <c r="H20" s="9">
        <f t="shared" si="2"/>
        <v>0.003933471463</v>
      </c>
      <c r="I20" s="9">
        <v>0.867012023925781</v>
      </c>
      <c r="J20" s="8">
        <v>0.873512268066406</v>
      </c>
      <c r="K20" s="8">
        <v>0.883140563964843</v>
      </c>
      <c r="L20" s="8">
        <v>0.878700256347656</v>
      </c>
      <c r="M20" s="11">
        <f t="shared" si="3"/>
        <v>0.8784510295</v>
      </c>
      <c r="N20" s="11">
        <f t="shared" si="4"/>
        <v>0.004818983919</v>
      </c>
      <c r="O20" s="7">
        <v>0.8912353515625</v>
      </c>
      <c r="P20" s="7">
        <v>0.885536193847656</v>
      </c>
      <c r="Q20" s="7">
        <v>0.892982482910156</v>
      </c>
      <c r="R20" s="11">
        <f t="shared" si="5"/>
        <v>0.8899180094</v>
      </c>
      <c r="S20" s="11">
        <f t="shared" si="6"/>
        <v>0.003894014368</v>
      </c>
      <c r="T20" s="8">
        <v>0.860748291015625</v>
      </c>
      <c r="U20" s="8">
        <v>0.911399841308593</v>
      </c>
      <c r="V20" s="8">
        <v>0.902984619140625</v>
      </c>
      <c r="W20" s="11">
        <f t="shared" si="7"/>
        <v>0.8917109172</v>
      </c>
      <c r="X20" s="11">
        <f t="shared" si="8"/>
        <v>0.02714253404</v>
      </c>
    </row>
    <row r="21">
      <c r="A21" s="5" t="s">
        <v>54</v>
      </c>
      <c r="B21" s="7">
        <v>0.9443359375</v>
      </c>
      <c r="C21" s="7">
        <v>0.01171875</v>
      </c>
      <c r="D21" s="9">
        <v>0.958984375</v>
      </c>
      <c r="E21" s="9">
        <v>0.96484375</v>
      </c>
      <c r="F21" s="9">
        <v>0.9375</v>
      </c>
      <c r="G21" s="9">
        <f t="shared" si="1"/>
        <v>0.9537760417</v>
      </c>
      <c r="H21" s="9">
        <f t="shared" si="2"/>
        <v>0.01439670859</v>
      </c>
      <c r="I21" s="9">
        <v>0.935546875</v>
      </c>
      <c r="J21" s="8">
        <v>0.96435546875</v>
      </c>
      <c r="K21" s="8">
        <v>0.927734375</v>
      </c>
      <c r="L21" s="8">
        <v>0.96826171875</v>
      </c>
      <c r="M21" s="11">
        <f t="shared" si="3"/>
        <v>0.9534505208</v>
      </c>
      <c r="N21" s="11">
        <f t="shared" si="4"/>
        <v>0.02235631487</v>
      </c>
      <c r="O21" s="7">
        <v>0.9560546875</v>
      </c>
      <c r="P21" s="7">
        <v>0.93115234375</v>
      </c>
      <c r="Q21" s="7">
        <v>0.96142578125</v>
      </c>
      <c r="R21" s="11">
        <f t="shared" si="5"/>
        <v>0.9495442708</v>
      </c>
      <c r="S21" s="11">
        <f t="shared" si="6"/>
        <v>0.01615269013</v>
      </c>
      <c r="T21" s="8">
        <v>0.93505859375</v>
      </c>
      <c r="U21" s="8">
        <v>0.93603515625</v>
      </c>
      <c r="V21" s="8">
        <v>0.9208984375</v>
      </c>
      <c r="W21" s="11">
        <f t="shared" si="7"/>
        <v>0.9306640625</v>
      </c>
      <c r="X21" s="11">
        <f t="shared" si="8"/>
        <v>0.008471363073</v>
      </c>
    </row>
    <row r="22">
      <c r="A22" s="5" t="s">
        <v>55</v>
      </c>
      <c r="B22" s="7">
        <v>0.892643051771117</v>
      </c>
      <c r="C22" s="7">
        <v>0.903607666290868</v>
      </c>
      <c r="D22" s="9">
        <v>0.9054700633648</v>
      </c>
      <c r="E22" s="9">
        <v>0.916645027265645</v>
      </c>
      <c r="F22" s="9">
        <v>0.857635893011216</v>
      </c>
      <c r="G22" s="9">
        <f t="shared" si="1"/>
        <v>0.8932503279</v>
      </c>
      <c r="H22" s="9">
        <f t="shared" si="2"/>
        <v>0.03134503043</v>
      </c>
      <c r="I22" s="9">
        <v>0.816344336193107</v>
      </c>
      <c r="J22" s="8">
        <v>0.887350534927627</v>
      </c>
      <c r="K22" s="8">
        <v>0.897378277153558</v>
      </c>
      <c r="L22" s="8">
        <v>0.898795798104022</v>
      </c>
      <c r="M22" s="11">
        <f t="shared" si="3"/>
        <v>0.8945082034</v>
      </c>
      <c r="N22" s="11">
        <f t="shared" si="4"/>
        <v>0.0062391109</v>
      </c>
      <c r="O22" s="7">
        <v>0.879243327286861</v>
      </c>
      <c r="P22" s="7">
        <v>0.884453260600049</v>
      </c>
      <c r="Q22" s="7">
        <v>0.908696242029575</v>
      </c>
      <c r="R22" s="11">
        <f t="shared" si="5"/>
        <v>0.89079761</v>
      </c>
      <c r="S22" s="11">
        <f t="shared" si="6"/>
        <v>0.01571803497</v>
      </c>
      <c r="T22" s="8">
        <v>0.904258279988867</v>
      </c>
      <c r="U22" s="8">
        <v>0.905390539053905</v>
      </c>
      <c r="V22" s="8">
        <v>0.882581336189583</v>
      </c>
      <c r="W22" s="11">
        <f t="shared" si="7"/>
        <v>0.8974100517</v>
      </c>
      <c r="X22" s="11">
        <f t="shared" si="8"/>
        <v>0.01285451696</v>
      </c>
    </row>
    <row r="23">
      <c r="A23" s="5" t="s">
        <v>43</v>
      </c>
      <c r="B23" s="7">
        <v>0.7431640625</v>
      </c>
      <c r="C23" s="7">
        <v>0.91259765625</v>
      </c>
      <c r="D23" s="9">
        <v>0.8076171875</v>
      </c>
      <c r="E23" s="9">
        <v>0.84814453125</v>
      </c>
      <c r="F23" s="9">
        <v>0.83984375</v>
      </c>
      <c r="G23" s="9">
        <f t="shared" si="1"/>
        <v>0.8318684896</v>
      </c>
      <c r="H23" s="9">
        <f t="shared" si="2"/>
        <v>0.02140840914</v>
      </c>
      <c r="I23" s="9">
        <v>0.8623046875</v>
      </c>
      <c r="J23" s="8">
        <v>0.81005859375</v>
      </c>
      <c r="K23" s="8">
        <v>0.861328125</v>
      </c>
      <c r="L23" s="8">
        <v>0.88232421875</v>
      </c>
      <c r="M23" s="11">
        <f t="shared" si="3"/>
        <v>0.8512369792</v>
      </c>
      <c r="N23" s="11">
        <f t="shared" si="4"/>
        <v>0.03717463594</v>
      </c>
      <c r="O23" s="7">
        <v>0.8935546875</v>
      </c>
      <c r="P23" s="7">
        <v>0.912109375</v>
      </c>
      <c r="Q23" s="7">
        <v>0.82568359375</v>
      </c>
      <c r="R23" s="11">
        <f t="shared" si="5"/>
        <v>0.8771158854</v>
      </c>
      <c r="S23" s="11">
        <f t="shared" si="6"/>
        <v>0.0454975777</v>
      </c>
      <c r="T23" s="8">
        <v>0.87548828125</v>
      </c>
      <c r="U23" s="8">
        <v>0.90771484375</v>
      </c>
      <c r="V23" s="8">
        <v>0.83935546875</v>
      </c>
      <c r="W23" s="11">
        <f t="shared" si="7"/>
        <v>0.8741861979</v>
      </c>
      <c r="X23" s="11">
        <f t="shared" si="8"/>
        <v>0.03419828363</v>
      </c>
    </row>
    <row r="24">
      <c r="A24" s="5" t="s">
        <v>56</v>
      </c>
      <c r="B24" s="7">
        <v>0.46240234375</v>
      </c>
      <c r="C24" s="7">
        <v>0.01806640625</v>
      </c>
      <c r="D24" s="9">
        <v>0.45361328125</v>
      </c>
      <c r="E24" s="9">
        <v>0.6689453125</v>
      </c>
      <c r="F24" s="9">
        <v>0.44921875</v>
      </c>
      <c r="G24" s="9">
        <f t="shared" si="1"/>
        <v>0.5239257813</v>
      </c>
      <c r="H24" s="9">
        <f t="shared" si="2"/>
        <v>0.1256098177</v>
      </c>
      <c r="I24" s="9">
        <v>0.021484375</v>
      </c>
      <c r="J24" s="8">
        <v>0.01953125</v>
      </c>
      <c r="K24" s="8">
        <v>0.00732421875</v>
      </c>
      <c r="L24" s="8">
        <v>0.0068359375</v>
      </c>
      <c r="M24" s="11">
        <f t="shared" si="3"/>
        <v>0.01123046875</v>
      </c>
      <c r="N24" s="11">
        <f t="shared" si="4"/>
        <v>0.007192831964</v>
      </c>
      <c r="O24" s="7">
        <v>0.0244140625</v>
      </c>
      <c r="P24" s="7">
        <v>0.169921875</v>
      </c>
      <c r="Q24" s="7">
        <v>0.16796875</v>
      </c>
      <c r="R24" s="11">
        <f t="shared" si="5"/>
        <v>0.1207682292</v>
      </c>
      <c r="S24" s="11">
        <f t="shared" si="6"/>
        <v>0.08345087028</v>
      </c>
      <c r="T24" s="8">
        <v>0.3720703125</v>
      </c>
      <c r="U24" s="8">
        <v>0.2841796875</v>
      </c>
      <c r="V24" s="8">
        <v>0.41796875</v>
      </c>
      <c r="W24" s="11">
        <f t="shared" si="7"/>
        <v>0.3580729167</v>
      </c>
      <c r="X24" s="11">
        <f t="shared" si="8"/>
        <v>0.06798399539</v>
      </c>
    </row>
    <row r="25">
      <c r="A25" s="5" t="s">
        <v>57</v>
      </c>
      <c r="B25" s="7">
        <v>0.676168639053254</v>
      </c>
      <c r="C25" s="7">
        <v>0.769371301775147</v>
      </c>
      <c r="D25" s="9">
        <v>0.750110946745562</v>
      </c>
      <c r="E25" s="9">
        <v>0.752736686390532</v>
      </c>
      <c r="F25" s="9">
        <v>0.71625</v>
      </c>
      <c r="G25" s="9">
        <f t="shared" si="1"/>
        <v>0.739699211</v>
      </c>
      <c r="H25" s="9">
        <f t="shared" si="2"/>
        <v>0.02035000617</v>
      </c>
      <c r="I25" s="9">
        <v>0.78598372781065</v>
      </c>
      <c r="J25" s="8">
        <v>0.780569526627218</v>
      </c>
      <c r="K25" s="8">
        <v>0.723772189349112</v>
      </c>
      <c r="L25" s="8">
        <v>0.730495562130177</v>
      </c>
      <c r="M25" s="11">
        <f t="shared" si="3"/>
        <v>0.7449457594</v>
      </c>
      <c r="N25" s="11">
        <f t="shared" si="4"/>
        <v>0.03103369992</v>
      </c>
      <c r="O25" s="7">
        <v>0.757366863905325</v>
      </c>
      <c r="P25" s="7">
        <v>0.785776627218934</v>
      </c>
      <c r="Q25" s="7">
        <v>0.73598372781065</v>
      </c>
      <c r="R25" s="11">
        <f t="shared" si="5"/>
        <v>0.759709073</v>
      </c>
      <c r="S25" s="11">
        <f t="shared" si="6"/>
        <v>0.02497894444</v>
      </c>
      <c r="T25" s="8">
        <v>0.717825443786982</v>
      </c>
      <c r="U25" s="8">
        <v>0.736331360946745</v>
      </c>
      <c r="V25" s="8">
        <v>0.752211538461538</v>
      </c>
      <c r="W25" s="11">
        <f t="shared" si="7"/>
        <v>0.7354561144</v>
      </c>
      <c r="X25" s="11">
        <f t="shared" si="8"/>
        <v>0.01720974779</v>
      </c>
    </row>
    <row r="26">
      <c r="A26" s="5" t="s">
        <v>58</v>
      </c>
      <c r="B26" s="7">
        <v>0.013671875</v>
      </c>
      <c r="C26" s="7">
        <v>0.04736328125</v>
      </c>
      <c r="D26" s="9">
        <v>0.00830078125</v>
      </c>
      <c r="E26" s="9">
        <v>0.00341796875</v>
      </c>
      <c r="F26" s="9">
        <v>0.013671875</v>
      </c>
      <c r="G26" s="9">
        <f t="shared" si="1"/>
        <v>0.008463541667</v>
      </c>
      <c r="H26" s="9">
        <f t="shared" si="2"/>
        <v>0.005128890383</v>
      </c>
      <c r="I26" s="9">
        <v>0.00537109375</v>
      </c>
      <c r="J26" s="8">
        <v>0.00927734375</v>
      </c>
      <c r="K26" s="8">
        <v>0.00146484375</v>
      </c>
      <c r="L26" s="8">
        <v>0.0029296875</v>
      </c>
      <c r="M26" s="11">
        <f t="shared" si="3"/>
        <v>0.004557291667</v>
      </c>
      <c r="N26" s="11">
        <f t="shared" si="4"/>
        <v>0.004152783471</v>
      </c>
      <c r="O26" s="7">
        <v>0.02099609375</v>
      </c>
      <c r="P26" s="7">
        <v>0.01318359375</v>
      </c>
      <c r="Q26" s="7">
        <v>0.0</v>
      </c>
      <c r="R26" s="11">
        <f t="shared" si="5"/>
        <v>0.01139322917</v>
      </c>
      <c r="S26" s="11">
        <f t="shared" si="6"/>
        <v>0.01061192924</v>
      </c>
      <c r="T26" s="8">
        <v>0.0</v>
      </c>
      <c r="U26" s="8">
        <v>0.00244140625</v>
      </c>
      <c r="V26" s="8">
        <v>0.00146484375</v>
      </c>
      <c r="W26" s="11">
        <f t="shared" si="7"/>
        <v>0.001302083333</v>
      </c>
      <c r="X26" s="11">
        <f t="shared" si="8"/>
        <v>0.001228814198</v>
      </c>
    </row>
    <row r="27">
      <c r="A27" s="5" t="s">
        <v>42</v>
      </c>
      <c r="B27" s="7">
        <v>0.763671875</v>
      </c>
      <c r="C27" s="7">
        <v>0.01513671875</v>
      </c>
      <c r="D27" s="9">
        <v>0.84716796875</v>
      </c>
      <c r="E27" s="9">
        <v>0.8837890625</v>
      </c>
      <c r="F27" s="9">
        <v>0.916015625</v>
      </c>
      <c r="G27" s="9">
        <f t="shared" si="1"/>
        <v>0.8823242188</v>
      </c>
      <c r="H27" s="9">
        <f t="shared" si="2"/>
        <v>0.03444719536</v>
      </c>
      <c r="I27" s="9">
        <v>0.87646484375</v>
      </c>
      <c r="J27" s="8">
        <v>0.83984375</v>
      </c>
      <c r="K27" s="8">
        <v>0.89404296875</v>
      </c>
      <c r="L27" s="8">
        <v>0.69775390625</v>
      </c>
      <c r="M27" s="11">
        <f t="shared" si="3"/>
        <v>0.810546875</v>
      </c>
      <c r="N27" s="11">
        <f t="shared" si="4"/>
        <v>0.1013709977</v>
      </c>
      <c r="O27" s="7">
        <v>0.8564453125</v>
      </c>
      <c r="P27" s="7">
        <v>0.912109375</v>
      </c>
      <c r="Q27" s="7">
        <v>0.9130859375</v>
      </c>
      <c r="R27" s="11">
        <f t="shared" si="5"/>
        <v>0.8938802083</v>
      </c>
      <c r="S27" s="11">
        <f t="shared" si="6"/>
        <v>0.03242324765</v>
      </c>
      <c r="T27" s="8">
        <v>0.865234375</v>
      </c>
      <c r="U27" s="8">
        <v>0.9013671875</v>
      </c>
      <c r="V27" s="8">
        <v>0.84375</v>
      </c>
      <c r="W27" s="11">
        <f t="shared" si="7"/>
        <v>0.8701171875</v>
      </c>
      <c r="X27" s="11">
        <f t="shared" si="8"/>
        <v>0.02911728812</v>
      </c>
    </row>
    <row r="28">
      <c r="A28" s="5" t="s">
        <v>46</v>
      </c>
      <c r="B28" s="7">
        <v>0.847169811320754</v>
      </c>
      <c r="C28" s="10">
        <v>0.971702637889688</v>
      </c>
      <c r="D28" s="9">
        <v>0.857142857142857</v>
      </c>
      <c r="E28" s="9">
        <v>0.855725879170423</v>
      </c>
      <c r="F28" s="9">
        <v>0.862516793551276</v>
      </c>
      <c r="G28" s="9">
        <f t="shared" si="1"/>
        <v>0.8584618433</v>
      </c>
      <c r="H28" s="9">
        <f t="shared" si="2"/>
        <v>0.003582446492</v>
      </c>
      <c r="I28" s="9">
        <v>0.858149779735682</v>
      </c>
      <c r="J28" s="8">
        <v>0.858333333333333</v>
      </c>
      <c r="K28" s="8">
        <v>0.839518072289156</v>
      </c>
      <c r="L28" s="8">
        <v>0.852757793764988</v>
      </c>
      <c r="M28" s="11">
        <f t="shared" si="3"/>
        <v>0.8502030665</v>
      </c>
      <c r="N28" s="11">
        <f t="shared" si="4"/>
        <v>0.0096642892</v>
      </c>
      <c r="O28" s="7">
        <v>0.848484848484848</v>
      </c>
      <c r="P28" s="7">
        <v>0.85306310456011</v>
      </c>
      <c r="Q28" s="7">
        <v>0.865940312648034</v>
      </c>
      <c r="R28" s="11">
        <f t="shared" si="5"/>
        <v>0.8558294219</v>
      </c>
      <c r="S28" s="11">
        <f t="shared" si="6"/>
        <v>0.009050563021</v>
      </c>
      <c r="T28" s="8">
        <v>0.838652482269503</v>
      </c>
      <c r="U28" s="8">
        <v>0.848288621646623</v>
      </c>
      <c r="V28" s="8">
        <v>0.85675306957708</v>
      </c>
      <c r="W28" s="11">
        <f t="shared" si="7"/>
        <v>0.8478980578</v>
      </c>
      <c r="X28" s="11">
        <f t="shared" si="8"/>
        <v>0.009056611965</v>
      </c>
    </row>
    <row r="29">
      <c r="A29" s="5" t="s">
        <v>59</v>
      </c>
      <c r="B29" s="7">
        <v>0.59033203125</v>
      </c>
      <c r="C29" s="7">
        <v>0.35400390625</v>
      </c>
      <c r="D29" s="9">
        <v>0.4384765625</v>
      </c>
      <c r="E29" s="9">
        <v>0.517578125</v>
      </c>
      <c r="F29" s="9">
        <v>0.2490234375</v>
      </c>
      <c r="G29" s="9">
        <f t="shared" si="1"/>
        <v>0.4016927083</v>
      </c>
      <c r="H29" s="9">
        <f t="shared" si="2"/>
        <v>0.138004326</v>
      </c>
      <c r="I29" s="9">
        <v>0.47900390625</v>
      </c>
      <c r="J29" s="8">
        <v>0.41064453125</v>
      </c>
      <c r="K29" s="8">
        <v>0.482421875</v>
      </c>
      <c r="L29" s="8">
        <v>0.4228515625</v>
      </c>
      <c r="M29" s="11">
        <f t="shared" si="3"/>
        <v>0.4386393229</v>
      </c>
      <c r="N29" s="11">
        <f t="shared" si="4"/>
        <v>0.03840490598</v>
      </c>
      <c r="O29" s="7">
        <v>0.55078125</v>
      </c>
      <c r="P29" s="7">
        <v>0.44482421875</v>
      </c>
      <c r="Q29" s="7">
        <v>0.50830078125</v>
      </c>
      <c r="R29" s="11">
        <f t="shared" si="5"/>
        <v>0.5013020833</v>
      </c>
      <c r="S29" s="11">
        <f t="shared" si="6"/>
        <v>0.05332409818</v>
      </c>
      <c r="T29" s="8">
        <v>0.47705078125</v>
      </c>
      <c r="U29" s="8">
        <v>0.5537109375</v>
      </c>
      <c r="V29" s="8">
        <v>0.478515625</v>
      </c>
      <c r="W29" s="11">
        <f t="shared" si="7"/>
        <v>0.5030924479</v>
      </c>
      <c r="X29" s="11">
        <f t="shared" si="8"/>
        <v>0.04384301606</v>
      </c>
    </row>
    <row r="30">
      <c r="A30" s="5" t="s">
        <v>47</v>
      </c>
      <c r="B30" s="7">
        <v>0.842824601366742</v>
      </c>
      <c r="C30" s="7">
        <v>0.913311570547696</v>
      </c>
      <c r="D30" s="9">
        <v>0.845070422535211</v>
      </c>
      <c r="E30" s="9">
        <v>0.886752136752136</v>
      </c>
      <c r="F30" s="9">
        <v>0.859619873291097</v>
      </c>
      <c r="G30" s="9">
        <f t="shared" si="1"/>
        <v>0.8638141442</v>
      </c>
      <c r="H30" s="9">
        <f t="shared" si="2"/>
        <v>0.0211550291</v>
      </c>
      <c r="I30" s="9">
        <v>0.48752176436448</v>
      </c>
      <c r="J30" s="8">
        <v>0.878248974008208</v>
      </c>
      <c r="K30" s="8">
        <v>0.842696629213483</v>
      </c>
      <c r="L30" s="8">
        <v>0.86408764121876</v>
      </c>
      <c r="M30" s="11">
        <f t="shared" si="3"/>
        <v>0.8616777481</v>
      </c>
      <c r="N30" s="11">
        <f t="shared" si="4"/>
        <v>0.01789826789</v>
      </c>
      <c r="O30" s="7">
        <v>0.826683689754229</v>
      </c>
      <c r="P30" s="7">
        <v>0.878536922015183</v>
      </c>
      <c r="Q30" s="7">
        <v>0.854415274463007</v>
      </c>
      <c r="R30" s="11">
        <f t="shared" si="5"/>
        <v>0.8532119621</v>
      </c>
      <c r="S30" s="11">
        <f t="shared" si="6"/>
        <v>0.02594755084</v>
      </c>
      <c r="T30" s="8">
        <v>0.875902371949123</v>
      </c>
      <c r="U30" s="8">
        <v>0.870266479663394</v>
      </c>
      <c r="V30" s="8">
        <v>0.832903225806451</v>
      </c>
      <c r="W30" s="11">
        <f t="shared" si="7"/>
        <v>0.8596906925</v>
      </c>
      <c r="X30" s="11">
        <f t="shared" si="8"/>
        <v>0.02336914843</v>
      </c>
    </row>
    <row r="31">
      <c r="A31" s="5" t="s">
        <v>60</v>
      </c>
      <c r="B31" s="7">
        <v>0.790283203125</v>
      </c>
      <c r="C31" s="7">
        <v>0.7705078125</v>
      </c>
      <c r="D31" s="9">
        <v>0.789306640625</v>
      </c>
      <c r="E31" s="9">
        <v>0.806396484375</v>
      </c>
      <c r="F31" s="9">
        <v>0.81689453125</v>
      </c>
      <c r="G31" s="9">
        <f t="shared" si="1"/>
        <v>0.8041992188</v>
      </c>
      <c r="H31" s="9">
        <f t="shared" si="2"/>
        <v>0.01392457933</v>
      </c>
      <c r="I31" s="9">
        <v>0.804931640625</v>
      </c>
      <c r="J31" s="8">
        <v>0.815673828125</v>
      </c>
      <c r="K31" s="8">
        <v>0.7880859375</v>
      </c>
      <c r="L31" s="8">
        <v>0.7626953125</v>
      </c>
      <c r="M31" s="11">
        <f t="shared" si="3"/>
        <v>0.7888183594</v>
      </c>
      <c r="N31" s="11">
        <f t="shared" si="4"/>
        <v>0.02649685096</v>
      </c>
      <c r="O31" s="7">
        <v>0.813720703125</v>
      </c>
      <c r="P31" s="7">
        <v>0.790283203125</v>
      </c>
      <c r="Q31" s="7">
        <v>0.8408203125</v>
      </c>
      <c r="R31" s="11">
        <f t="shared" si="5"/>
        <v>0.8149414063</v>
      </c>
      <c r="S31" s="11">
        <f t="shared" si="6"/>
        <v>0.02529065921</v>
      </c>
      <c r="T31" s="8">
        <v>0.78125</v>
      </c>
      <c r="U31" s="8">
        <v>0.79052734375</v>
      </c>
      <c r="V31" s="8">
        <v>0.794189453125</v>
      </c>
      <c r="W31" s="11">
        <f t="shared" si="7"/>
        <v>0.788655599</v>
      </c>
      <c r="X31" s="11">
        <f t="shared" si="8"/>
        <v>0.006669702633</v>
      </c>
    </row>
    <row r="32">
      <c r="A32" s="12" t="s">
        <v>45</v>
      </c>
      <c r="B32" s="15">
        <f t="shared" ref="B32:F32" si="9">AVERAGE(B2:B31)</f>
        <v>0.7389544818</v>
      </c>
      <c r="C32" s="15">
        <f t="shared" si="9"/>
        <v>0.592497849</v>
      </c>
      <c r="D32" s="15">
        <f t="shared" si="9"/>
        <v>0.7436735403</v>
      </c>
      <c r="E32" s="15">
        <f t="shared" si="9"/>
        <v>0.7583942838</v>
      </c>
      <c r="F32" s="15">
        <f t="shared" si="9"/>
        <v>0.7519558949</v>
      </c>
      <c r="G32" s="9">
        <f t="shared" si="1"/>
        <v>0.7513412397</v>
      </c>
      <c r="H32" s="9">
        <f t="shared" si="2"/>
        <v>0.00737959509</v>
      </c>
      <c r="I32" s="15">
        <f t="shared" ref="I32:L32" si="10">AVERAGE(I2:I31)</f>
        <v>0.712331703</v>
      </c>
      <c r="J32" s="15">
        <f t="shared" si="10"/>
        <v>0.7202626744</v>
      </c>
      <c r="K32" s="15">
        <f t="shared" si="10"/>
        <v>0.7185134845</v>
      </c>
      <c r="L32" s="15">
        <f t="shared" si="10"/>
        <v>0.7070733286</v>
      </c>
      <c r="M32" s="11">
        <f t="shared" si="3"/>
        <v>0.7152831625</v>
      </c>
      <c r="N32" s="11">
        <f t="shared" si="4"/>
        <v>0.007163514906</v>
      </c>
      <c r="O32" s="15">
        <f t="shared" ref="O32:Q32" si="11">AVERAGE(O2:O31)</f>
        <v>0.736165988</v>
      </c>
      <c r="P32" s="15">
        <f t="shared" si="11"/>
        <v>0.749723742</v>
      </c>
      <c r="Q32" s="15">
        <f t="shared" si="11"/>
        <v>0.7505649082</v>
      </c>
      <c r="R32" s="11">
        <f t="shared" si="5"/>
        <v>0.7454848794</v>
      </c>
      <c r="S32" s="11">
        <f t="shared" si="6"/>
        <v>0.008081348463</v>
      </c>
      <c r="T32" s="11">
        <f t="shared" ref="T32:V32" si="12">AVERAGE(T2:T31)</f>
        <v>0.739462754</v>
      </c>
      <c r="U32" s="11">
        <f t="shared" si="12"/>
        <v>0.7579252207</v>
      </c>
      <c r="V32" s="11">
        <f t="shared" si="12"/>
        <v>0.7385846386</v>
      </c>
      <c r="W32" s="11">
        <f t="shared" si="7"/>
        <v>0.7453242044</v>
      </c>
      <c r="X32" s="11">
        <f t="shared" si="8"/>
        <v>0.01092162902</v>
      </c>
    </row>
    <row r="33">
      <c r="A33" s="12" t="s">
        <v>61</v>
      </c>
      <c r="B33" s="15">
        <f t="shared" ref="B33:F33" si="13">_xlfn.STDEV.S(B2:B31)</f>
        <v>0.2368777643</v>
      </c>
      <c r="C33" s="15">
        <f t="shared" si="13"/>
        <v>0.3689942148</v>
      </c>
      <c r="D33" s="15">
        <f t="shared" si="13"/>
        <v>0.2579686385</v>
      </c>
      <c r="E33" s="15">
        <f t="shared" si="13"/>
        <v>0.251676355</v>
      </c>
      <c r="F33" s="15">
        <f t="shared" si="13"/>
        <v>0.2593979066</v>
      </c>
      <c r="G33" s="9">
        <f t="shared" si="1"/>
        <v>0.2563476334</v>
      </c>
      <c r="H33" s="9">
        <f t="shared" si="2"/>
        <v>0.004108081465</v>
      </c>
      <c r="I33" s="15">
        <f t="shared" ref="I33:L33" si="14">_xlfn.STDEV.S(I2:I31)</f>
        <v>0.2977275849</v>
      </c>
      <c r="J33" s="15">
        <f t="shared" si="14"/>
        <v>0.2901913078</v>
      </c>
      <c r="K33" s="15">
        <f t="shared" si="14"/>
        <v>0.2886511534</v>
      </c>
      <c r="L33" s="15">
        <f t="shared" si="14"/>
        <v>0.2787909841</v>
      </c>
      <c r="M33" s="11">
        <f t="shared" si="3"/>
        <v>0.2858778151</v>
      </c>
      <c r="N33" s="11">
        <f t="shared" si="4"/>
        <v>0.006185499106</v>
      </c>
      <c r="O33" s="15">
        <f t="shared" ref="O33:Q33" si="15">_xlfn.STDEV.S(O2:O31)</f>
        <v>0.2843258339</v>
      </c>
      <c r="P33" s="15">
        <f t="shared" si="15"/>
        <v>0.2754722065</v>
      </c>
      <c r="Q33" s="15">
        <f t="shared" si="15"/>
        <v>0.2734308157</v>
      </c>
      <c r="R33" s="11">
        <f t="shared" si="5"/>
        <v>0.277742952</v>
      </c>
      <c r="S33" s="11">
        <f t="shared" si="6"/>
        <v>0.005791594711</v>
      </c>
      <c r="T33" s="11">
        <f t="shared" ref="T33:V33" si="16">STDEV(T2:T31)</f>
        <v>0.2525168433</v>
      </c>
      <c r="U33" s="11">
        <f t="shared" si="16"/>
        <v>0.2449054741</v>
      </c>
      <c r="V33" s="11">
        <f t="shared" si="16"/>
        <v>0.251381895</v>
      </c>
      <c r="W33" s="11">
        <f t="shared" si="7"/>
        <v>0.2496014041</v>
      </c>
      <c r="X33" s="11">
        <f t="shared" si="8"/>
        <v>0.004106196035</v>
      </c>
    </row>
    <row r="34">
      <c r="A34" s="12" t="s">
        <v>62</v>
      </c>
      <c r="B34" s="15">
        <f t="shared" ref="B34:F34" si="17">MEDIAN(B2:B31)</f>
        <v>0.8449972063</v>
      </c>
      <c r="C34" s="15">
        <f t="shared" si="17"/>
        <v>0.7561035156</v>
      </c>
      <c r="D34" s="15">
        <f t="shared" si="17"/>
        <v>0.8491210938</v>
      </c>
      <c r="E34" s="15">
        <f t="shared" si="17"/>
        <v>0.861526207</v>
      </c>
      <c r="F34" s="15">
        <f t="shared" si="17"/>
        <v>0.8636314437</v>
      </c>
      <c r="G34" s="9">
        <f t="shared" si="1"/>
        <v>0.8580929148</v>
      </c>
      <c r="H34" s="9">
        <f t="shared" si="2"/>
        <v>0.007840802576</v>
      </c>
      <c r="I34" s="15">
        <f t="shared" ref="I34:L34" si="18">MEDIAN(I2:I31)</f>
        <v>0.844539079</v>
      </c>
      <c r="J34" s="15">
        <f t="shared" si="18"/>
        <v>0.8490885417</v>
      </c>
      <c r="K34" s="15">
        <f t="shared" si="18"/>
        <v>0.8489301017</v>
      </c>
      <c r="L34" s="15">
        <f t="shared" si="18"/>
        <v>0.8302712677</v>
      </c>
      <c r="M34" s="11">
        <f t="shared" si="3"/>
        <v>0.8427633037</v>
      </c>
      <c r="N34" s="11">
        <f t="shared" si="4"/>
        <v>0.01081871054</v>
      </c>
      <c r="O34" s="15">
        <f t="shared" ref="O34:Q34" si="19">MEDIAN(O2:O31)</f>
        <v>0.8661192438</v>
      </c>
      <c r="P34" s="15">
        <f t="shared" si="19"/>
        <v>0.8745335658</v>
      </c>
      <c r="Q34" s="15">
        <f t="shared" si="19"/>
        <v>0.8648549219</v>
      </c>
      <c r="R34" s="11">
        <f t="shared" si="5"/>
        <v>0.8685025772</v>
      </c>
      <c r="S34" s="11">
        <f t="shared" si="6"/>
        <v>0.005261106844</v>
      </c>
      <c r="T34" s="11">
        <f t="shared" ref="T34:V34" si="20">MEDIAN(T2:T31)</f>
        <v>0.8640136719</v>
      </c>
      <c r="U34" s="11">
        <f t="shared" si="20"/>
        <v>0.8703294348</v>
      </c>
      <c r="V34" s="11">
        <f t="shared" si="20"/>
        <v>0.848526001</v>
      </c>
      <c r="W34" s="11">
        <f t="shared" si="7"/>
        <v>0.8609563692</v>
      </c>
      <c r="X34" s="11">
        <f t="shared" si="8"/>
        <v>0.01121863435</v>
      </c>
    </row>
    <row r="35">
      <c r="A35" s="13"/>
      <c r="B35" s="16"/>
      <c r="C35" s="16"/>
      <c r="D35" s="11"/>
      <c r="E35" s="11"/>
      <c r="F35" s="11"/>
      <c r="G35" s="11"/>
      <c r="H35" s="11"/>
      <c r="I35" s="11"/>
      <c r="J35" s="11"/>
      <c r="K35" s="11"/>
      <c r="L35" s="11"/>
      <c r="N35" s="11"/>
      <c r="O35" s="16"/>
      <c r="P35" s="16"/>
      <c r="Q35" s="16"/>
      <c r="S35" s="11"/>
      <c r="T35" s="11"/>
      <c r="U35" s="11"/>
      <c r="V35" s="11"/>
      <c r="X35" s="11"/>
    </row>
    <row r="36">
      <c r="A36" s="13"/>
      <c r="B36" s="16"/>
      <c r="C36" s="16"/>
      <c r="D36" s="11"/>
      <c r="E36" s="11"/>
      <c r="F36" s="11"/>
      <c r="G36" s="11"/>
      <c r="H36" s="11"/>
      <c r="I36" s="11"/>
      <c r="J36" s="11"/>
      <c r="K36" s="11"/>
      <c r="L36" s="11"/>
      <c r="N36" s="11"/>
      <c r="O36" s="16"/>
      <c r="P36" s="16"/>
      <c r="Q36" s="16"/>
      <c r="S36" s="11"/>
      <c r="T36" s="11"/>
      <c r="U36" s="11"/>
      <c r="V36" s="11"/>
      <c r="X36" s="11"/>
    </row>
    <row r="37">
      <c r="A37" s="12" t="s">
        <v>63</v>
      </c>
      <c r="B37" s="15">
        <f t="shared" ref="B37:G37" si="21">B12</f>
        <v>0.48828125</v>
      </c>
      <c r="C37" s="15">
        <f t="shared" si="21"/>
        <v>0.61328125</v>
      </c>
      <c r="D37" s="15">
        <f t="shared" si="21"/>
        <v>0.60546875</v>
      </c>
      <c r="E37" s="15">
        <f t="shared" si="21"/>
        <v>0.6005859375</v>
      </c>
      <c r="F37" s="15">
        <f t="shared" si="21"/>
        <v>0.5712890625</v>
      </c>
      <c r="G37" s="15">
        <f t="shared" si="21"/>
        <v>0.5924479167</v>
      </c>
      <c r="H37" s="15"/>
      <c r="I37" s="15">
        <f t="shared" ref="I37:M37" si="22">I12</f>
        <v>0.6044921875</v>
      </c>
      <c r="J37" s="15">
        <f t="shared" si="22"/>
        <v>0.6064453125</v>
      </c>
      <c r="K37" s="15">
        <f t="shared" si="22"/>
        <v>0.5620117188</v>
      </c>
      <c r="L37" s="15">
        <f t="shared" si="22"/>
        <v>0.6025390625</v>
      </c>
      <c r="M37" s="15">
        <f t="shared" si="22"/>
        <v>0.5903320313</v>
      </c>
      <c r="N37" s="11"/>
      <c r="O37" s="15">
        <f t="shared" ref="O37:R37" si="23">O12</f>
        <v>0.5971679688</v>
      </c>
      <c r="P37" s="15">
        <f t="shared" si="23"/>
        <v>0.6098632813</v>
      </c>
      <c r="Q37" s="15">
        <f t="shared" si="23"/>
        <v>0.5805664063</v>
      </c>
      <c r="R37" s="15">
        <f t="shared" si="23"/>
        <v>0.5958658854</v>
      </c>
      <c r="S37" s="15"/>
      <c r="T37" s="15">
        <f t="shared" ref="T37:W37" si="24">T12</f>
        <v>0.4956054688</v>
      </c>
      <c r="U37" s="15">
        <f t="shared" si="24"/>
        <v>0.6010742188</v>
      </c>
      <c r="V37" s="15">
        <f t="shared" si="24"/>
        <v>0.6020507813</v>
      </c>
      <c r="W37" s="15">
        <f t="shared" si="24"/>
        <v>0.5662434896</v>
      </c>
      <c r="X37" s="15"/>
    </row>
    <row r="38">
      <c r="A38" s="12" t="s">
        <v>64</v>
      </c>
      <c r="B38" s="15">
        <f t="shared" ref="B38:G38" si="25">(B19+B20+B25)/3</f>
        <v>0.8076674801</v>
      </c>
      <c r="C38" s="15">
        <f t="shared" si="25"/>
        <v>0.5437317791</v>
      </c>
      <c r="D38" s="15">
        <f t="shared" si="25"/>
        <v>0.8271650747</v>
      </c>
      <c r="E38" s="15">
        <f t="shared" si="25"/>
        <v>0.8349830703</v>
      </c>
      <c r="F38" s="15">
        <f t="shared" si="25"/>
        <v>0.8188255819</v>
      </c>
      <c r="G38" s="15">
        <f t="shared" si="25"/>
        <v>0.8269912423</v>
      </c>
      <c r="H38" s="15"/>
      <c r="I38" s="15">
        <f t="shared" ref="I38:M38" si="26">(I19+I20+I25)/3</f>
        <v>0.8383012369</v>
      </c>
      <c r="J38" s="15">
        <f t="shared" si="26"/>
        <v>0.8396499863</v>
      </c>
      <c r="K38" s="15">
        <f t="shared" si="26"/>
        <v>0.8206921092</v>
      </c>
      <c r="L38" s="15">
        <f t="shared" si="26"/>
        <v>0.8252881732</v>
      </c>
      <c r="M38" s="15">
        <f t="shared" si="26"/>
        <v>0.8285434229</v>
      </c>
      <c r="N38" s="11"/>
      <c r="O38" s="15">
        <f t="shared" ref="O38:R38" si="27">(O19+O20+O25)/3</f>
        <v>0.8317301167</v>
      </c>
      <c r="P38" s="15">
        <f t="shared" si="27"/>
        <v>0.8403684338</v>
      </c>
      <c r="Q38" s="15">
        <f t="shared" si="27"/>
        <v>0.826619108</v>
      </c>
      <c r="R38" s="15">
        <f t="shared" si="27"/>
        <v>0.8329058862</v>
      </c>
      <c r="S38" s="15"/>
      <c r="T38" s="15">
        <f t="shared" ref="T38:W38" si="28">(T19+T20+T25)/3</f>
        <v>0.8137889012</v>
      </c>
      <c r="U38" s="15">
        <f t="shared" si="28"/>
        <v>0.8371974287</v>
      </c>
      <c r="V38" s="15">
        <f t="shared" si="28"/>
        <v>0.8353522511</v>
      </c>
      <c r="W38" s="15">
        <f t="shared" si="28"/>
        <v>0.828779527</v>
      </c>
      <c r="X38" s="15"/>
    </row>
    <row r="39">
      <c r="A39" s="12" t="s">
        <v>65</v>
      </c>
      <c r="B39" s="15">
        <f t="shared" ref="B39:G39" si="29">(B14+B17+B28)/3</f>
        <v>0.8654196229</v>
      </c>
      <c r="C39" s="15">
        <f t="shared" si="29"/>
        <v>0.7659246888</v>
      </c>
      <c r="D39" s="15">
        <f t="shared" si="29"/>
        <v>0.8925660762</v>
      </c>
      <c r="E39" s="15">
        <f t="shared" si="29"/>
        <v>0.8832953279</v>
      </c>
      <c r="F39" s="15">
        <f t="shared" si="29"/>
        <v>0.8873309786</v>
      </c>
      <c r="G39" s="15">
        <f t="shared" si="29"/>
        <v>0.8877307942</v>
      </c>
      <c r="H39" s="15"/>
      <c r="I39" s="15">
        <f t="shared" ref="I39:M39" si="30">(I14+I17+I28)/3</f>
        <v>0.9040697215</v>
      </c>
      <c r="J39" s="15">
        <f t="shared" si="30"/>
        <v>0.8922744555</v>
      </c>
      <c r="K39" s="15">
        <f t="shared" si="30"/>
        <v>0.8857531808</v>
      </c>
      <c r="L39" s="15">
        <f t="shared" si="30"/>
        <v>0.8954260467</v>
      </c>
      <c r="M39" s="15">
        <f t="shared" si="30"/>
        <v>0.8911512276</v>
      </c>
      <c r="N39" s="11"/>
      <c r="O39" s="15">
        <f t="shared" ref="O39:R39" si="31">(O14+O17+O28)/3</f>
        <v>0.8861567988</v>
      </c>
      <c r="P39" s="15">
        <f t="shared" si="31"/>
        <v>0.906164113</v>
      </c>
      <c r="Q39" s="15">
        <f t="shared" si="31"/>
        <v>0.9008400829</v>
      </c>
      <c r="R39" s="15">
        <f t="shared" si="31"/>
        <v>0.8977203316</v>
      </c>
      <c r="S39" s="15"/>
      <c r="T39" s="15">
        <f t="shared" ref="T39:W39" si="32">(T14+T17+T28)/3</f>
        <v>0.887597593</v>
      </c>
      <c r="U39" s="15">
        <f t="shared" si="32"/>
        <v>0.9000505558</v>
      </c>
      <c r="V39" s="15">
        <f t="shared" si="32"/>
        <v>0.9025696838</v>
      </c>
      <c r="W39" s="15">
        <f t="shared" si="32"/>
        <v>0.8967392775</v>
      </c>
      <c r="X39" s="15"/>
    </row>
    <row r="40">
      <c r="A40" s="12" t="s">
        <v>66</v>
      </c>
      <c r="B40" s="15">
        <f t="shared" ref="B40:G40" si="33">(B3+B4+B5+B7+B9+B10+B11+B13+B22+B23+B29+B31)/12</f>
        <v>0.7563515661</v>
      </c>
      <c r="C40" s="15">
        <f t="shared" si="33"/>
        <v>0.7777458869</v>
      </c>
      <c r="D40" s="15">
        <f t="shared" si="33"/>
        <v>0.7653601517</v>
      </c>
      <c r="E40" s="15">
        <f t="shared" si="33"/>
        <v>0.7772713888</v>
      </c>
      <c r="F40" s="15">
        <f t="shared" si="33"/>
        <v>0.7544846275</v>
      </c>
      <c r="G40" s="15">
        <f t="shared" si="33"/>
        <v>0.7657053893</v>
      </c>
      <c r="H40" s="15"/>
      <c r="I40" s="15">
        <f t="shared" ref="I40:M40" si="34">(I3+I4+I5+I7+I9+I10+I11+I13+I22+I23+I29+I31)/12</f>
        <v>0.7581344247</v>
      </c>
      <c r="J40" s="15">
        <f t="shared" si="34"/>
        <v>0.7397861536</v>
      </c>
      <c r="K40" s="15">
        <f t="shared" si="34"/>
        <v>0.7559504633</v>
      </c>
      <c r="L40" s="15">
        <f t="shared" si="34"/>
        <v>0.7473476101</v>
      </c>
      <c r="M40" s="15">
        <f t="shared" si="34"/>
        <v>0.7476947423</v>
      </c>
      <c r="N40" s="11"/>
      <c r="O40" s="15">
        <f t="shared" ref="O40:R40" si="35">(O3+O4+O5+O7+O9+O10+O11+O13+O22+O23+O29+O31)/12</f>
        <v>0.7610222713</v>
      </c>
      <c r="P40" s="15">
        <f t="shared" si="35"/>
        <v>0.7757282206</v>
      </c>
      <c r="Q40" s="15">
        <f t="shared" si="35"/>
        <v>0.7707864563</v>
      </c>
      <c r="R40" s="15">
        <f t="shared" si="35"/>
        <v>0.7691789828</v>
      </c>
      <c r="S40" s="15"/>
      <c r="T40" s="15">
        <f t="shared" ref="T40:W40" si="36">(T3+T4+T5+T7+T9+T10+T11+T13+T22+T23+T29+T31)/12</f>
        <v>0.7761203441</v>
      </c>
      <c r="U40" s="15">
        <f t="shared" si="36"/>
        <v>0.7815273494</v>
      </c>
      <c r="V40" s="15">
        <f t="shared" si="36"/>
        <v>0.7659389879</v>
      </c>
      <c r="W40" s="15">
        <f t="shared" si="36"/>
        <v>0.7745288938</v>
      </c>
      <c r="X40" s="15"/>
    </row>
    <row r="41">
      <c r="A41" s="12" t="s">
        <v>67</v>
      </c>
      <c r="B41" s="15">
        <f t="shared" ref="B41:G41" si="37">(B2+B30)/2</f>
        <v>0.8703174102</v>
      </c>
      <c r="C41" s="15">
        <f t="shared" si="37"/>
        <v>0.9286268522</v>
      </c>
      <c r="D41" s="15">
        <f t="shared" si="37"/>
        <v>0.8778767174</v>
      </c>
      <c r="E41" s="15">
        <f t="shared" si="37"/>
        <v>0.8965870776</v>
      </c>
      <c r="F41" s="15">
        <f t="shared" si="37"/>
        <v>0.8833813652</v>
      </c>
      <c r="G41" s="15">
        <f t="shared" si="37"/>
        <v>0.8859483867</v>
      </c>
      <c r="H41" s="15"/>
      <c r="I41" s="15">
        <f t="shared" ref="I41:M41" si="38">(I2+I30)/2</f>
        <v>0.6922902939</v>
      </c>
      <c r="J41" s="15">
        <f t="shared" si="38"/>
        <v>0.8703638758</v>
      </c>
      <c r="K41" s="15">
        <f t="shared" si="38"/>
        <v>0.8390698336</v>
      </c>
      <c r="L41" s="15">
        <f t="shared" si="38"/>
        <v>0.8365972357</v>
      </c>
      <c r="M41" s="15">
        <f t="shared" si="38"/>
        <v>0.8486769817</v>
      </c>
      <c r="N41" s="11"/>
      <c r="O41" s="15">
        <f t="shared" ref="O41:R41" si="39">(O2+O30)/2</f>
        <v>0.8450824592</v>
      </c>
      <c r="P41" s="15">
        <f t="shared" si="39"/>
        <v>0.8842856431</v>
      </c>
      <c r="Q41" s="15">
        <f t="shared" si="39"/>
        <v>0.8987672703</v>
      </c>
      <c r="R41" s="15">
        <f t="shared" si="39"/>
        <v>0.8760451242</v>
      </c>
      <c r="S41" s="15"/>
      <c r="T41" s="15">
        <f t="shared" ref="T41:W41" si="40">(T2+T30)/2</f>
        <v>0.8877781756</v>
      </c>
      <c r="U41" s="15">
        <f t="shared" si="40"/>
        <v>0.8895160663</v>
      </c>
      <c r="V41" s="15">
        <f t="shared" si="40"/>
        <v>0.8528152493</v>
      </c>
      <c r="W41" s="15">
        <f t="shared" si="40"/>
        <v>0.8767031637</v>
      </c>
      <c r="X41" s="15"/>
    </row>
    <row r="42">
      <c r="A42" s="12" t="s">
        <v>68</v>
      </c>
      <c r="B42" s="15">
        <f t="shared" ref="B42:G42" si="41">(B6+B21+B26)/3</f>
        <v>0.607421875</v>
      </c>
      <c r="C42" s="15">
        <f t="shared" si="41"/>
        <v>0.2504882813</v>
      </c>
      <c r="D42" s="15">
        <f t="shared" si="41"/>
        <v>0.6061197917</v>
      </c>
      <c r="E42" s="15">
        <f t="shared" si="41"/>
        <v>0.6140950521</v>
      </c>
      <c r="F42" s="15">
        <f t="shared" si="41"/>
        <v>0.6082356771</v>
      </c>
      <c r="G42" s="15">
        <f t="shared" si="41"/>
        <v>0.6094835069</v>
      </c>
      <c r="H42" s="15"/>
      <c r="I42" s="15">
        <f t="shared" ref="I42:M42" si="42">(I6+I21+I26)/3</f>
        <v>0.5932617188</v>
      </c>
      <c r="J42" s="15">
        <f t="shared" si="42"/>
        <v>0.5662434896</v>
      </c>
      <c r="K42" s="15">
        <f t="shared" si="42"/>
        <v>0.5654296875</v>
      </c>
      <c r="L42" s="15">
        <f t="shared" si="42"/>
        <v>0.5904947917</v>
      </c>
      <c r="M42" s="15">
        <f t="shared" si="42"/>
        <v>0.5740559896</v>
      </c>
      <c r="N42" s="11"/>
      <c r="O42" s="15">
        <f t="shared" ref="O42:R42" si="43">(O6+O21+O26)/3</f>
        <v>0.6238606771</v>
      </c>
      <c r="P42" s="15">
        <f t="shared" si="43"/>
        <v>0.5875651042</v>
      </c>
      <c r="Q42" s="15">
        <f t="shared" si="43"/>
        <v>0.6083984375</v>
      </c>
      <c r="R42" s="15">
        <f t="shared" si="43"/>
        <v>0.6066080729</v>
      </c>
      <c r="S42" s="15"/>
      <c r="T42" s="15">
        <f t="shared" ref="T42:W42" si="44">(T6+T21+T26)/3</f>
        <v>0.5670572917</v>
      </c>
      <c r="U42" s="15">
        <f t="shared" si="44"/>
        <v>0.6139322917</v>
      </c>
      <c r="V42" s="15">
        <f t="shared" si="44"/>
        <v>0.5895182292</v>
      </c>
      <c r="W42" s="15">
        <f t="shared" si="44"/>
        <v>0.5901692708</v>
      </c>
      <c r="X42" s="15"/>
    </row>
    <row r="43">
      <c r="A43" s="12" t="s">
        <v>69</v>
      </c>
      <c r="B43" s="15">
        <f t="shared" ref="B43:G43" si="45">(B8+B15+B16+B27)/4</f>
        <v>0.7648925781</v>
      </c>
      <c r="C43" s="15">
        <f t="shared" si="45"/>
        <v>0.1994628906</v>
      </c>
      <c r="D43" s="15">
        <f t="shared" si="45"/>
        <v>0.7839355469</v>
      </c>
      <c r="E43" s="15">
        <f t="shared" si="45"/>
        <v>0.7760009766</v>
      </c>
      <c r="F43" s="15">
        <f t="shared" si="45"/>
        <v>0.8582763672</v>
      </c>
      <c r="G43" s="15">
        <f t="shared" si="45"/>
        <v>0.8060709635</v>
      </c>
      <c r="H43" s="15"/>
      <c r="I43" s="15">
        <f t="shared" ref="I43:M43" si="46">(I8+I15+I16+I27)/4</f>
        <v>0.8111572266</v>
      </c>
      <c r="J43" s="15">
        <f t="shared" si="46"/>
        <v>0.8568115234</v>
      </c>
      <c r="K43" s="15">
        <f t="shared" si="46"/>
        <v>0.8326416016</v>
      </c>
      <c r="L43" s="15">
        <f t="shared" si="46"/>
        <v>0.708984375</v>
      </c>
      <c r="M43" s="15">
        <f t="shared" si="46"/>
        <v>0.7994791667</v>
      </c>
      <c r="N43" s="11"/>
      <c r="O43" s="15">
        <f t="shared" ref="O43:R43" si="47">(O8+O15+O16+O27)/4</f>
        <v>0.8338623047</v>
      </c>
      <c r="P43" s="15">
        <f t="shared" si="47"/>
        <v>0.8682861328</v>
      </c>
      <c r="Q43" s="15">
        <f t="shared" si="47"/>
        <v>0.8565673828</v>
      </c>
      <c r="R43" s="15">
        <f t="shared" si="47"/>
        <v>0.8529052734</v>
      </c>
      <c r="S43" s="15"/>
      <c r="T43" s="15">
        <f t="shared" ref="T43:W43" si="48">(T8+T15+T16+T27)/4</f>
        <v>0.7452392578</v>
      </c>
      <c r="U43" s="15">
        <f t="shared" si="48"/>
        <v>0.7967529297</v>
      </c>
      <c r="V43" s="15">
        <f t="shared" si="48"/>
        <v>0.7203369141</v>
      </c>
      <c r="W43" s="15">
        <f t="shared" si="48"/>
        <v>0.7541097005</v>
      </c>
      <c r="X43" s="15"/>
    </row>
    <row r="44">
      <c r="A44" s="12" t="s">
        <v>70</v>
      </c>
      <c r="B44" s="15">
        <f t="shared" ref="B44:G44" si="49">(B18+B24)/2</f>
        <v>0.4812011719</v>
      </c>
      <c r="C44" s="15">
        <f t="shared" si="49"/>
        <v>0.2465820313</v>
      </c>
      <c r="D44" s="15">
        <f t="shared" si="49"/>
        <v>0.3256835938</v>
      </c>
      <c r="E44" s="15">
        <f t="shared" si="49"/>
        <v>0.46484375</v>
      </c>
      <c r="F44" s="15">
        <f t="shared" si="49"/>
        <v>0.3952636719</v>
      </c>
      <c r="G44" s="15">
        <f t="shared" si="49"/>
        <v>0.3952636719</v>
      </c>
      <c r="H44" s="15"/>
      <c r="I44" s="15">
        <f t="shared" ref="I44:M44" si="50">(I18+I24)/2</f>
        <v>0.01586914063</v>
      </c>
      <c r="J44" s="15">
        <f t="shared" si="50"/>
        <v>0.03076171875</v>
      </c>
      <c r="K44" s="15">
        <f t="shared" si="50"/>
        <v>0.048828125</v>
      </c>
      <c r="L44" s="15">
        <f t="shared" si="50"/>
        <v>0.09936523438</v>
      </c>
      <c r="M44" s="15">
        <f t="shared" si="50"/>
        <v>0.05965169271</v>
      </c>
      <c r="N44" s="11"/>
      <c r="O44" s="15">
        <f t="shared" ref="O44:R44" si="51">(O18+O24)/2</f>
        <v>0.15234375</v>
      </c>
      <c r="P44" s="15">
        <f t="shared" si="51"/>
        <v>0.1645507813</v>
      </c>
      <c r="Q44" s="15">
        <f t="shared" si="51"/>
        <v>0.2277832031</v>
      </c>
      <c r="R44" s="15">
        <f t="shared" si="51"/>
        <v>0.1815592448</v>
      </c>
      <c r="S44" s="15"/>
      <c r="T44" s="15">
        <f t="shared" ref="T44:W44" si="52">(T18+T24)/2</f>
        <v>0.4064941406</v>
      </c>
      <c r="U44" s="15">
        <f t="shared" si="52"/>
        <v>0.3693847656</v>
      </c>
      <c r="V44" s="15">
        <f t="shared" si="52"/>
        <v>0.3974609375</v>
      </c>
      <c r="W44" s="15">
        <f t="shared" si="52"/>
        <v>0.3911132813</v>
      </c>
      <c r="X44" s="15"/>
    </row>
    <row r="45">
      <c r="A45" s="13"/>
      <c r="B45" s="14"/>
      <c r="C45" s="14"/>
      <c r="D45" s="11"/>
      <c r="E45" s="11"/>
      <c r="F45" s="11"/>
      <c r="G45" s="11"/>
      <c r="H45" s="11"/>
      <c r="I45" s="11"/>
      <c r="J45" s="11"/>
      <c r="K45" s="11"/>
      <c r="L45" s="11"/>
      <c r="N45" s="11"/>
      <c r="O45" s="14"/>
      <c r="P45" s="14"/>
      <c r="Q45" s="14"/>
      <c r="S45" s="11"/>
      <c r="T45" s="11"/>
      <c r="U45" s="11"/>
      <c r="V45" s="11"/>
      <c r="X45" s="11"/>
    </row>
    <row r="46">
      <c r="A46" s="13"/>
      <c r="B46" s="14"/>
      <c r="C46" s="14"/>
      <c r="D46" s="11"/>
      <c r="E46" s="11"/>
      <c r="F46" s="11"/>
      <c r="G46" s="11"/>
      <c r="H46" s="11"/>
      <c r="I46" s="11"/>
      <c r="J46" s="11"/>
      <c r="K46" s="11"/>
      <c r="L46" s="11"/>
      <c r="N46" s="11"/>
      <c r="O46" s="14"/>
      <c r="P46" s="14"/>
      <c r="Q46" s="14"/>
      <c r="S46" s="11"/>
      <c r="T46" s="11"/>
      <c r="U46" s="11"/>
      <c r="V46" s="11"/>
      <c r="X46" s="11"/>
    </row>
    <row r="47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N47" s="11"/>
      <c r="O47" s="11"/>
      <c r="P47" s="11"/>
      <c r="Q47" s="11"/>
      <c r="S47" s="11"/>
      <c r="T47" s="11"/>
      <c r="U47" s="11"/>
      <c r="V47" s="11"/>
      <c r="X47" s="11"/>
    </row>
    <row r="48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N48" s="11"/>
      <c r="O48" s="11"/>
      <c r="P48" s="11"/>
      <c r="Q48" s="11"/>
      <c r="S48" s="11"/>
      <c r="T48" s="11"/>
      <c r="U48" s="11"/>
      <c r="V48" s="11"/>
      <c r="X48" s="11"/>
    </row>
    <row r="49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N49" s="11"/>
      <c r="O49" s="11"/>
      <c r="P49" s="11"/>
      <c r="Q49" s="11"/>
      <c r="S49" s="11"/>
      <c r="T49" s="11"/>
      <c r="U49" s="11"/>
      <c r="V49" s="11"/>
      <c r="X49" s="11"/>
    </row>
    <row r="5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N50" s="11"/>
      <c r="O50" s="11"/>
      <c r="P50" s="11"/>
      <c r="Q50" s="11"/>
      <c r="S50" s="11"/>
      <c r="T50" s="11"/>
      <c r="U50" s="11"/>
      <c r="V50" s="11"/>
      <c r="X50" s="11"/>
    </row>
    <row r="51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N51" s="11"/>
      <c r="O51" s="11"/>
      <c r="P51" s="11"/>
      <c r="Q51" s="11"/>
      <c r="S51" s="11"/>
      <c r="T51" s="11"/>
      <c r="U51" s="11"/>
      <c r="V51" s="11"/>
      <c r="X51" s="11"/>
    </row>
    <row r="52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N52" s="11"/>
      <c r="O52" s="11"/>
      <c r="P52" s="11"/>
      <c r="Q52" s="11"/>
      <c r="S52" s="11"/>
      <c r="T52" s="11"/>
      <c r="U52" s="11"/>
      <c r="V52" s="11"/>
      <c r="X52" s="11"/>
    </row>
    <row r="53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N53" s="11"/>
      <c r="O53" s="11"/>
      <c r="P53" s="11"/>
      <c r="Q53" s="11"/>
      <c r="S53" s="11"/>
      <c r="T53" s="11"/>
      <c r="U53" s="11"/>
      <c r="V53" s="11"/>
      <c r="X53" s="11"/>
    </row>
    <row r="54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N54" s="11"/>
      <c r="O54" s="11"/>
      <c r="P54" s="11"/>
      <c r="Q54" s="11"/>
      <c r="S54" s="11"/>
      <c r="T54" s="11"/>
      <c r="U54" s="11"/>
      <c r="V54" s="11"/>
      <c r="X54" s="11"/>
    </row>
    <row r="55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N55" s="11"/>
      <c r="O55" s="11"/>
      <c r="P55" s="11"/>
      <c r="Q55" s="11"/>
      <c r="S55" s="11"/>
      <c r="T55" s="11"/>
      <c r="U55" s="11"/>
      <c r="V55" s="11"/>
      <c r="X55" s="11"/>
    </row>
    <row r="56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N56" s="11"/>
      <c r="O56" s="11"/>
      <c r="P56" s="11"/>
      <c r="Q56" s="11"/>
      <c r="S56" s="11"/>
      <c r="T56" s="11"/>
      <c r="U56" s="11"/>
      <c r="V56" s="11"/>
      <c r="X56" s="11"/>
    </row>
    <row r="57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N57" s="11"/>
      <c r="O57" s="11"/>
      <c r="P57" s="11"/>
      <c r="Q57" s="11"/>
      <c r="S57" s="11"/>
      <c r="T57" s="11"/>
      <c r="U57" s="11"/>
      <c r="V57" s="11"/>
      <c r="X57" s="11"/>
    </row>
    <row r="58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N58" s="11"/>
      <c r="O58" s="11"/>
      <c r="P58" s="11"/>
      <c r="Q58" s="11"/>
      <c r="S58" s="11"/>
      <c r="T58" s="11"/>
      <c r="U58" s="11"/>
      <c r="V58" s="11"/>
      <c r="X58" s="11"/>
    </row>
    <row r="59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N59" s="11"/>
      <c r="O59" s="11"/>
      <c r="P59" s="11"/>
      <c r="Q59" s="11"/>
      <c r="S59" s="11"/>
      <c r="T59" s="11"/>
      <c r="U59" s="11"/>
      <c r="V59" s="11"/>
      <c r="X59" s="11"/>
    </row>
    <row r="60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N60" s="11"/>
      <c r="O60" s="11"/>
      <c r="P60" s="11"/>
      <c r="Q60" s="11"/>
      <c r="S60" s="11"/>
      <c r="T60" s="11"/>
      <c r="U60" s="11"/>
      <c r="V60" s="11"/>
      <c r="X60" s="11"/>
    </row>
    <row r="61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N61" s="11"/>
      <c r="O61" s="11"/>
      <c r="P61" s="11"/>
      <c r="Q61" s="11"/>
      <c r="S61" s="11"/>
      <c r="T61" s="11"/>
      <c r="U61" s="11"/>
      <c r="V61" s="11"/>
      <c r="X61" s="11"/>
    </row>
    <row r="62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N62" s="11"/>
      <c r="O62" s="11"/>
      <c r="P62" s="11"/>
      <c r="Q62" s="11"/>
      <c r="S62" s="11"/>
      <c r="T62" s="11"/>
      <c r="U62" s="11"/>
      <c r="V62" s="11"/>
      <c r="X62" s="11"/>
    </row>
    <row r="63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N63" s="11"/>
      <c r="O63" s="11"/>
      <c r="P63" s="11"/>
      <c r="Q63" s="11"/>
      <c r="S63" s="11"/>
      <c r="T63" s="11"/>
      <c r="U63" s="11"/>
      <c r="V63" s="11"/>
      <c r="X63" s="11"/>
    </row>
    <row r="64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N64" s="11"/>
      <c r="O64" s="11"/>
      <c r="P64" s="11"/>
      <c r="Q64" s="11"/>
      <c r="S64" s="11"/>
      <c r="T64" s="11"/>
      <c r="U64" s="11"/>
      <c r="V64" s="11"/>
      <c r="X64" s="11"/>
    </row>
    <row r="65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N65" s="11"/>
      <c r="O65" s="11"/>
      <c r="P65" s="11"/>
      <c r="Q65" s="11"/>
      <c r="S65" s="11"/>
      <c r="T65" s="11"/>
      <c r="U65" s="11"/>
      <c r="V65" s="11"/>
      <c r="X65" s="11"/>
    </row>
    <row r="66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N66" s="11"/>
      <c r="O66" s="11"/>
      <c r="P66" s="11"/>
      <c r="Q66" s="11"/>
      <c r="S66" s="11"/>
      <c r="T66" s="11"/>
      <c r="U66" s="11"/>
      <c r="V66" s="11"/>
      <c r="X66" s="11"/>
    </row>
    <row r="67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N67" s="11"/>
      <c r="O67" s="11"/>
      <c r="P67" s="11"/>
      <c r="Q67" s="11"/>
      <c r="S67" s="11"/>
      <c r="T67" s="11"/>
      <c r="U67" s="11"/>
      <c r="V67" s="11"/>
      <c r="X67" s="11"/>
    </row>
    <row r="68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N68" s="11"/>
      <c r="O68" s="11"/>
      <c r="P68" s="11"/>
      <c r="Q68" s="11"/>
      <c r="S68" s="11"/>
      <c r="T68" s="11"/>
      <c r="U68" s="11"/>
      <c r="V68" s="11"/>
      <c r="X68" s="11"/>
    </row>
    <row r="69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N69" s="11"/>
      <c r="O69" s="11"/>
      <c r="P69" s="11"/>
      <c r="Q69" s="11"/>
      <c r="S69" s="11"/>
      <c r="T69" s="11"/>
      <c r="U69" s="11"/>
      <c r="V69" s="11"/>
      <c r="X69" s="11"/>
    </row>
    <row r="70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N70" s="11"/>
      <c r="O70" s="11"/>
      <c r="P70" s="11"/>
      <c r="Q70" s="11"/>
      <c r="S70" s="11"/>
      <c r="T70" s="11"/>
      <c r="U70" s="11"/>
      <c r="V70" s="11"/>
      <c r="X70" s="11"/>
    </row>
    <row r="71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N71" s="11"/>
      <c r="O71" s="11"/>
      <c r="P71" s="11"/>
      <c r="Q71" s="11"/>
      <c r="S71" s="11"/>
      <c r="T71" s="11"/>
      <c r="U71" s="11"/>
      <c r="V71" s="11"/>
      <c r="X71" s="11"/>
    </row>
    <row r="72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N72" s="11"/>
      <c r="O72" s="11"/>
      <c r="P72" s="11"/>
      <c r="Q72" s="11"/>
      <c r="S72" s="11"/>
      <c r="T72" s="11"/>
      <c r="U72" s="11"/>
      <c r="V72" s="11"/>
      <c r="X72" s="11"/>
    </row>
    <row r="73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N73" s="11"/>
      <c r="O73" s="11"/>
      <c r="P73" s="11"/>
      <c r="Q73" s="11"/>
      <c r="S73" s="11"/>
      <c r="T73" s="11"/>
      <c r="U73" s="11"/>
      <c r="V73" s="11"/>
      <c r="X73" s="11"/>
    </row>
    <row r="74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N74" s="11"/>
      <c r="O74" s="11"/>
      <c r="P74" s="11"/>
      <c r="Q74" s="11"/>
      <c r="S74" s="11"/>
      <c r="T74" s="11"/>
      <c r="U74" s="11"/>
      <c r="V74" s="11"/>
      <c r="X74" s="11"/>
    </row>
    <row r="75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N75" s="11"/>
      <c r="O75" s="11"/>
      <c r="P75" s="11"/>
      <c r="Q75" s="11"/>
      <c r="S75" s="11"/>
      <c r="T75" s="11"/>
      <c r="U75" s="11"/>
      <c r="V75" s="11"/>
      <c r="X75" s="11"/>
    </row>
    <row r="76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N76" s="11"/>
      <c r="O76" s="11"/>
      <c r="P76" s="11"/>
      <c r="Q76" s="11"/>
      <c r="S76" s="11"/>
      <c r="T76" s="11"/>
      <c r="U76" s="11"/>
      <c r="V76" s="11"/>
      <c r="X76" s="11"/>
    </row>
    <row r="77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N77" s="11"/>
      <c r="O77" s="11"/>
      <c r="P77" s="11"/>
      <c r="Q77" s="11"/>
      <c r="S77" s="11"/>
      <c r="T77" s="11"/>
      <c r="U77" s="11"/>
      <c r="V77" s="11"/>
      <c r="X77" s="11"/>
    </row>
    <row r="78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N78" s="11"/>
      <c r="O78" s="11"/>
      <c r="P78" s="11"/>
      <c r="Q78" s="11"/>
      <c r="S78" s="11"/>
      <c r="T78" s="11"/>
      <c r="U78" s="11"/>
      <c r="V78" s="11"/>
      <c r="X78" s="11"/>
    </row>
    <row r="79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N79" s="11"/>
      <c r="O79" s="11"/>
      <c r="P79" s="11"/>
      <c r="Q79" s="11"/>
      <c r="S79" s="11"/>
      <c r="T79" s="11"/>
      <c r="U79" s="11"/>
      <c r="V79" s="11"/>
      <c r="X79" s="11"/>
    </row>
    <row r="8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N80" s="11"/>
      <c r="O80" s="11"/>
      <c r="P80" s="11"/>
      <c r="Q80" s="11"/>
      <c r="S80" s="11"/>
      <c r="T80" s="11"/>
      <c r="U80" s="11"/>
      <c r="V80" s="11"/>
      <c r="X80" s="11"/>
    </row>
    <row r="81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N81" s="11"/>
      <c r="O81" s="11"/>
      <c r="P81" s="11"/>
      <c r="Q81" s="11"/>
      <c r="S81" s="11"/>
      <c r="T81" s="11"/>
      <c r="U81" s="11"/>
      <c r="V81" s="11"/>
      <c r="X81" s="11"/>
    </row>
    <row r="82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N82" s="11"/>
      <c r="O82" s="11"/>
      <c r="P82" s="11"/>
      <c r="Q82" s="11"/>
      <c r="S82" s="11"/>
      <c r="T82" s="11"/>
      <c r="U82" s="11"/>
      <c r="V82" s="11"/>
      <c r="X82" s="11"/>
    </row>
    <row r="83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N83" s="11"/>
      <c r="O83" s="11"/>
      <c r="P83" s="11"/>
      <c r="Q83" s="11"/>
      <c r="S83" s="11"/>
      <c r="T83" s="11"/>
      <c r="U83" s="11"/>
      <c r="V83" s="11"/>
      <c r="X83" s="11"/>
    </row>
    <row r="84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N84" s="11"/>
      <c r="O84" s="11"/>
      <c r="P84" s="11"/>
      <c r="Q84" s="11"/>
      <c r="S84" s="11"/>
      <c r="T84" s="11"/>
      <c r="U84" s="11"/>
      <c r="V84" s="11"/>
      <c r="X84" s="11"/>
    </row>
    <row r="85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N85" s="11"/>
      <c r="O85" s="11"/>
      <c r="P85" s="11"/>
      <c r="Q85" s="11"/>
      <c r="S85" s="11"/>
      <c r="T85" s="11"/>
      <c r="U85" s="11"/>
      <c r="V85" s="11"/>
      <c r="X85" s="11"/>
    </row>
    <row r="86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N86" s="11"/>
      <c r="O86" s="11"/>
      <c r="P86" s="11"/>
      <c r="Q86" s="11"/>
      <c r="S86" s="11"/>
      <c r="T86" s="11"/>
      <c r="U86" s="11"/>
      <c r="V86" s="11"/>
      <c r="X86" s="11"/>
    </row>
    <row r="87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N87" s="11"/>
      <c r="O87" s="11"/>
      <c r="P87" s="11"/>
      <c r="Q87" s="11"/>
      <c r="S87" s="11"/>
      <c r="T87" s="11"/>
      <c r="U87" s="11"/>
      <c r="V87" s="11"/>
      <c r="X87" s="11"/>
    </row>
    <row r="88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N88" s="11"/>
      <c r="O88" s="11"/>
      <c r="P88" s="11"/>
      <c r="Q88" s="11"/>
      <c r="S88" s="11"/>
      <c r="T88" s="11"/>
      <c r="U88" s="11"/>
      <c r="V88" s="11"/>
      <c r="X88" s="11"/>
    </row>
    <row r="89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N89" s="11"/>
      <c r="O89" s="11"/>
      <c r="P89" s="11"/>
      <c r="Q89" s="11"/>
      <c r="S89" s="11"/>
      <c r="T89" s="11"/>
      <c r="U89" s="11"/>
      <c r="V89" s="11"/>
      <c r="X89" s="11"/>
    </row>
    <row r="9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N90" s="11"/>
      <c r="O90" s="11"/>
      <c r="P90" s="11"/>
      <c r="Q90" s="11"/>
      <c r="S90" s="11"/>
      <c r="T90" s="11"/>
      <c r="U90" s="11"/>
      <c r="V90" s="11"/>
      <c r="X90" s="11"/>
    </row>
    <row r="91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N91" s="11"/>
      <c r="O91" s="11"/>
      <c r="P91" s="11"/>
      <c r="Q91" s="11"/>
      <c r="S91" s="11"/>
      <c r="T91" s="11"/>
      <c r="U91" s="11"/>
      <c r="V91" s="11"/>
      <c r="X91" s="11"/>
    </row>
    <row r="9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N92" s="11"/>
      <c r="O92" s="11"/>
      <c r="P92" s="11"/>
      <c r="Q92" s="11"/>
      <c r="S92" s="11"/>
      <c r="T92" s="11"/>
      <c r="U92" s="11"/>
      <c r="V92" s="11"/>
      <c r="X92" s="11"/>
    </row>
    <row r="93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N93" s="11"/>
      <c r="O93" s="11"/>
      <c r="P93" s="11"/>
      <c r="Q93" s="11"/>
      <c r="S93" s="11"/>
      <c r="T93" s="11"/>
      <c r="U93" s="11"/>
      <c r="V93" s="11"/>
      <c r="X93" s="11"/>
    </row>
    <row r="94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N94" s="11"/>
      <c r="O94" s="11"/>
      <c r="P94" s="11"/>
      <c r="Q94" s="11"/>
      <c r="S94" s="11"/>
      <c r="T94" s="11"/>
      <c r="U94" s="11"/>
      <c r="V94" s="11"/>
      <c r="X94" s="11"/>
    </row>
    <row r="95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N95" s="11"/>
      <c r="O95" s="11"/>
      <c r="P95" s="11"/>
      <c r="Q95" s="11"/>
      <c r="S95" s="11"/>
      <c r="T95" s="11"/>
      <c r="U95" s="11"/>
      <c r="V95" s="11"/>
      <c r="X95" s="11"/>
    </row>
    <row r="96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N96" s="11"/>
      <c r="O96" s="11"/>
      <c r="P96" s="11"/>
      <c r="Q96" s="11"/>
      <c r="S96" s="11"/>
      <c r="T96" s="11"/>
      <c r="U96" s="11"/>
      <c r="V96" s="11"/>
      <c r="X96" s="11"/>
    </row>
    <row r="97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N97" s="11"/>
      <c r="O97" s="11"/>
      <c r="P97" s="11"/>
      <c r="Q97" s="11"/>
      <c r="S97" s="11"/>
      <c r="T97" s="11"/>
      <c r="U97" s="11"/>
      <c r="V97" s="11"/>
      <c r="X97" s="11"/>
    </row>
    <row r="98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N98" s="11"/>
      <c r="O98" s="11"/>
      <c r="P98" s="11"/>
      <c r="Q98" s="11"/>
      <c r="S98" s="11"/>
      <c r="T98" s="11"/>
      <c r="U98" s="11"/>
      <c r="V98" s="11"/>
      <c r="X98" s="11"/>
    </row>
    <row r="99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N99" s="11"/>
      <c r="O99" s="11"/>
      <c r="P99" s="11"/>
      <c r="Q99" s="11"/>
      <c r="S99" s="11"/>
      <c r="T99" s="11"/>
      <c r="U99" s="11"/>
      <c r="V99" s="11"/>
      <c r="X99" s="11"/>
    </row>
    <row r="100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N100" s="11"/>
      <c r="O100" s="11"/>
      <c r="P100" s="11"/>
      <c r="Q100" s="11"/>
      <c r="S100" s="11"/>
      <c r="T100" s="11"/>
      <c r="U100" s="11"/>
      <c r="V100" s="11"/>
      <c r="X100" s="11"/>
    </row>
    <row r="101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N101" s="11"/>
      <c r="O101" s="11"/>
      <c r="P101" s="11"/>
      <c r="Q101" s="11"/>
      <c r="S101" s="11"/>
      <c r="T101" s="11"/>
      <c r="U101" s="11"/>
      <c r="V101" s="11"/>
      <c r="X101" s="11"/>
    </row>
    <row r="102"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N102" s="11"/>
      <c r="O102" s="11"/>
      <c r="P102" s="11"/>
      <c r="Q102" s="11"/>
      <c r="S102" s="11"/>
      <c r="T102" s="11"/>
      <c r="U102" s="11"/>
      <c r="V102" s="11"/>
      <c r="X102" s="11"/>
    </row>
    <row r="103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N103" s="11"/>
      <c r="O103" s="11"/>
      <c r="P103" s="11"/>
      <c r="Q103" s="11"/>
      <c r="S103" s="11"/>
      <c r="T103" s="11"/>
      <c r="U103" s="11"/>
      <c r="V103" s="11"/>
      <c r="X103" s="11"/>
    </row>
    <row r="104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N104" s="11"/>
      <c r="O104" s="11"/>
      <c r="P104" s="11"/>
      <c r="Q104" s="11"/>
      <c r="S104" s="11"/>
      <c r="T104" s="11"/>
      <c r="U104" s="11"/>
      <c r="V104" s="11"/>
      <c r="X104" s="11"/>
    </row>
    <row r="105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N105" s="11"/>
      <c r="O105" s="11"/>
      <c r="P105" s="11"/>
      <c r="Q105" s="11"/>
      <c r="S105" s="11"/>
      <c r="T105" s="11"/>
      <c r="U105" s="11"/>
      <c r="V105" s="11"/>
      <c r="X105" s="11"/>
    </row>
    <row r="106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N106" s="11"/>
      <c r="O106" s="11"/>
      <c r="P106" s="11"/>
      <c r="Q106" s="11"/>
      <c r="S106" s="11"/>
      <c r="T106" s="11"/>
      <c r="U106" s="11"/>
      <c r="V106" s="11"/>
      <c r="X106" s="11"/>
    </row>
    <row r="107"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N107" s="11"/>
      <c r="O107" s="11"/>
      <c r="P107" s="11"/>
      <c r="Q107" s="11"/>
      <c r="S107" s="11"/>
      <c r="T107" s="11"/>
      <c r="U107" s="11"/>
      <c r="V107" s="11"/>
      <c r="X107" s="11"/>
    </row>
    <row r="108"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N108" s="11"/>
      <c r="O108" s="11"/>
      <c r="P108" s="11"/>
      <c r="Q108" s="11"/>
      <c r="S108" s="11"/>
      <c r="T108" s="11"/>
      <c r="U108" s="11"/>
      <c r="V108" s="11"/>
      <c r="X108" s="11"/>
    </row>
    <row r="109"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N109" s="11"/>
      <c r="O109" s="11"/>
      <c r="P109" s="11"/>
      <c r="Q109" s="11"/>
      <c r="S109" s="11"/>
      <c r="T109" s="11"/>
      <c r="U109" s="11"/>
      <c r="V109" s="11"/>
      <c r="X109" s="11"/>
    </row>
    <row r="110"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N110" s="11"/>
      <c r="O110" s="11"/>
      <c r="P110" s="11"/>
      <c r="Q110" s="11"/>
      <c r="S110" s="11"/>
      <c r="T110" s="11"/>
      <c r="U110" s="11"/>
      <c r="V110" s="11"/>
      <c r="X110" s="11"/>
    </row>
    <row r="111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N111" s="11"/>
      <c r="O111" s="11"/>
      <c r="P111" s="11"/>
      <c r="Q111" s="11"/>
      <c r="S111" s="11"/>
      <c r="T111" s="11"/>
      <c r="U111" s="11"/>
      <c r="V111" s="11"/>
      <c r="X111" s="11"/>
    </row>
    <row r="112"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N112" s="11"/>
      <c r="O112" s="11"/>
      <c r="P112" s="11"/>
      <c r="Q112" s="11"/>
      <c r="S112" s="11"/>
      <c r="T112" s="11"/>
      <c r="U112" s="11"/>
      <c r="V112" s="11"/>
      <c r="X112" s="11"/>
    </row>
    <row r="113"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N113" s="11"/>
      <c r="O113" s="11"/>
      <c r="P113" s="11"/>
      <c r="Q113" s="11"/>
      <c r="S113" s="11"/>
      <c r="T113" s="11"/>
      <c r="U113" s="11"/>
      <c r="V113" s="11"/>
      <c r="X113" s="11"/>
    </row>
    <row r="114"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N114" s="11"/>
      <c r="O114" s="11"/>
      <c r="P114" s="11"/>
      <c r="Q114" s="11"/>
      <c r="S114" s="11"/>
      <c r="T114" s="11"/>
      <c r="U114" s="11"/>
      <c r="V114" s="11"/>
      <c r="X114" s="11"/>
    </row>
    <row r="115"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N115" s="11"/>
      <c r="O115" s="11"/>
      <c r="P115" s="11"/>
      <c r="Q115" s="11"/>
      <c r="S115" s="11"/>
      <c r="T115" s="11"/>
      <c r="U115" s="11"/>
      <c r="V115" s="11"/>
      <c r="X115" s="11"/>
    </row>
    <row r="116"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N116" s="11"/>
      <c r="O116" s="11"/>
      <c r="P116" s="11"/>
      <c r="Q116" s="11"/>
      <c r="S116" s="11"/>
      <c r="T116" s="11"/>
      <c r="U116" s="11"/>
      <c r="V116" s="11"/>
      <c r="X116" s="11"/>
    </row>
    <row r="117"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N117" s="11"/>
      <c r="O117" s="11"/>
      <c r="P117" s="11"/>
      <c r="Q117" s="11"/>
      <c r="S117" s="11"/>
      <c r="T117" s="11"/>
      <c r="U117" s="11"/>
      <c r="V117" s="11"/>
      <c r="X117" s="11"/>
    </row>
    <row r="118"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N118" s="11"/>
      <c r="O118" s="11"/>
      <c r="P118" s="11"/>
      <c r="Q118" s="11"/>
      <c r="S118" s="11"/>
      <c r="T118" s="11"/>
      <c r="U118" s="11"/>
      <c r="V118" s="11"/>
      <c r="X118" s="11"/>
    </row>
    <row r="119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N119" s="11"/>
      <c r="O119" s="11"/>
      <c r="P119" s="11"/>
      <c r="Q119" s="11"/>
      <c r="S119" s="11"/>
      <c r="T119" s="11"/>
      <c r="U119" s="11"/>
      <c r="V119" s="11"/>
      <c r="X119" s="11"/>
    </row>
    <row r="120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N120" s="11"/>
      <c r="O120" s="11"/>
      <c r="P120" s="11"/>
      <c r="Q120" s="11"/>
      <c r="S120" s="11"/>
      <c r="T120" s="11"/>
      <c r="U120" s="11"/>
      <c r="V120" s="11"/>
      <c r="X120" s="11"/>
    </row>
    <row r="121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N121" s="11"/>
      <c r="O121" s="11"/>
      <c r="P121" s="11"/>
      <c r="Q121" s="11"/>
      <c r="S121" s="11"/>
      <c r="T121" s="11"/>
      <c r="U121" s="11"/>
      <c r="V121" s="11"/>
      <c r="X121" s="11"/>
    </row>
    <row r="122"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N122" s="11"/>
      <c r="O122" s="11"/>
      <c r="P122" s="11"/>
      <c r="Q122" s="11"/>
      <c r="S122" s="11"/>
      <c r="T122" s="11"/>
      <c r="U122" s="11"/>
      <c r="V122" s="11"/>
      <c r="X122" s="11"/>
    </row>
    <row r="123"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N123" s="11"/>
      <c r="O123" s="11"/>
      <c r="P123" s="11"/>
      <c r="Q123" s="11"/>
      <c r="S123" s="11"/>
      <c r="T123" s="11"/>
      <c r="U123" s="11"/>
      <c r="V123" s="11"/>
      <c r="X123" s="11"/>
    </row>
    <row r="124"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N124" s="11"/>
      <c r="O124" s="11"/>
      <c r="P124" s="11"/>
      <c r="Q124" s="11"/>
      <c r="S124" s="11"/>
      <c r="T124" s="11"/>
      <c r="U124" s="11"/>
      <c r="V124" s="11"/>
      <c r="X124" s="11"/>
    </row>
    <row r="125"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N125" s="11"/>
      <c r="O125" s="11"/>
      <c r="P125" s="11"/>
      <c r="Q125" s="11"/>
      <c r="S125" s="11"/>
      <c r="T125" s="11"/>
      <c r="U125" s="11"/>
      <c r="V125" s="11"/>
      <c r="X125" s="11"/>
    </row>
    <row r="126"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N126" s="11"/>
      <c r="O126" s="11"/>
      <c r="P126" s="11"/>
      <c r="Q126" s="11"/>
      <c r="S126" s="11"/>
      <c r="T126" s="11"/>
      <c r="U126" s="11"/>
      <c r="V126" s="11"/>
      <c r="X126" s="11"/>
    </row>
    <row r="127"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N127" s="11"/>
      <c r="O127" s="11"/>
      <c r="P127" s="11"/>
      <c r="Q127" s="11"/>
      <c r="S127" s="11"/>
      <c r="T127" s="11"/>
      <c r="U127" s="11"/>
      <c r="V127" s="11"/>
      <c r="X127" s="11"/>
    </row>
    <row r="128"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N128" s="11"/>
      <c r="O128" s="11"/>
      <c r="P128" s="11"/>
      <c r="Q128" s="11"/>
      <c r="S128" s="11"/>
      <c r="T128" s="11"/>
      <c r="U128" s="11"/>
      <c r="V128" s="11"/>
      <c r="X128" s="11"/>
    </row>
    <row r="129"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N129" s="11"/>
      <c r="O129" s="11"/>
      <c r="P129" s="11"/>
      <c r="Q129" s="11"/>
      <c r="S129" s="11"/>
      <c r="T129" s="11"/>
      <c r="U129" s="11"/>
      <c r="V129" s="11"/>
      <c r="X129" s="11"/>
    </row>
    <row r="130"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N130" s="11"/>
      <c r="O130" s="11"/>
      <c r="P130" s="11"/>
      <c r="Q130" s="11"/>
      <c r="S130" s="11"/>
      <c r="T130" s="11"/>
      <c r="U130" s="11"/>
      <c r="V130" s="11"/>
      <c r="X130" s="11"/>
    </row>
    <row r="131"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N131" s="11"/>
      <c r="O131" s="11"/>
      <c r="P131" s="11"/>
      <c r="Q131" s="11"/>
      <c r="S131" s="11"/>
      <c r="T131" s="11"/>
      <c r="U131" s="11"/>
      <c r="V131" s="11"/>
      <c r="X131" s="11"/>
    </row>
    <row r="132"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N132" s="11"/>
      <c r="O132" s="11"/>
      <c r="P132" s="11"/>
      <c r="Q132" s="11"/>
      <c r="S132" s="11"/>
      <c r="T132" s="11"/>
      <c r="U132" s="11"/>
      <c r="V132" s="11"/>
      <c r="X132" s="11"/>
    </row>
    <row r="133"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N133" s="11"/>
      <c r="O133" s="11"/>
      <c r="P133" s="11"/>
      <c r="Q133" s="11"/>
      <c r="S133" s="11"/>
      <c r="T133" s="11"/>
      <c r="U133" s="11"/>
      <c r="V133" s="11"/>
      <c r="X133" s="11"/>
    </row>
    <row r="134"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N134" s="11"/>
      <c r="O134" s="11"/>
      <c r="P134" s="11"/>
      <c r="Q134" s="11"/>
      <c r="S134" s="11"/>
      <c r="T134" s="11"/>
      <c r="U134" s="11"/>
      <c r="V134" s="11"/>
      <c r="X134" s="11"/>
    </row>
    <row r="135"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N135" s="11"/>
      <c r="O135" s="11"/>
      <c r="P135" s="11"/>
      <c r="Q135" s="11"/>
      <c r="S135" s="11"/>
      <c r="T135" s="11"/>
      <c r="U135" s="11"/>
      <c r="V135" s="11"/>
      <c r="X135" s="11"/>
    </row>
    <row r="136"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N136" s="11"/>
      <c r="O136" s="11"/>
      <c r="P136" s="11"/>
      <c r="Q136" s="11"/>
      <c r="S136" s="11"/>
      <c r="T136" s="11"/>
      <c r="U136" s="11"/>
      <c r="V136" s="11"/>
      <c r="X136" s="11"/>
    </row>
    <row r="137"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N137" s="11"/>
      <c r="O137" s="11"/>
      <c r="P137" s="11"/>
      <c r="Q137" s="11"/>
      <c r="S137" s="11"/>
      <c r="T137" s="11"/>
      <c r="U137" s="11"/>
      <c r="V137" s="11"/>
      <c r="X137" s="11"/>
    </row>
    <row r="138"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N138" s="11"/>
      <c r="O138" s="11"/>
      <c r="P138" s="11"/>
      <c r="Q138" s="11"/>
      <c r="S138" s="11"/>
      <c r="T138" s="11"/>
      <c r="U138" s="11"/>
      <c r="V138" s="11"/>
      <c r="X138" s="11"/>
    </row>
    <row r="139"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N139" s="11"/>
      <c r="O139" s="11"/>
      <c r="P139" s="11"/>
      <c r="Q139" s="11"/>
      <c r="S139" s="11"/>
      <c r="T139" s="11"/>
      <c r="U139" s="11"/>
      <c r="V139" s="11"/>
      <c r="X139" s="11"/>
    </row>
    <row r="140"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N140" s="11"/>
      <c r="O140" s="11"/>
      <c r="P140" s="11"/>
      <c r="Q140" s="11"/>
      <c r="S140" s="11"/>
      <c r="T140" s="11"/>
      <c r="U140" s="11"/>
      <c r="V140" s="11"/>
      <c r="X140" s="11"/>
    </row>
    <row r="141"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N141" s="11"/>
      <c r="O141" s="11"/>
      <c r="P141" s="11"/>
      <c r="Q141" s="11"/>
      <c r="S141" s="11"/>
      <c r="T141" s="11"/>
      <c r="U141" s="11"/>
      <c r="V141" s="11"/>
      <c r="X141" s="11"/>
    </row>
    <row r="142"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N142" s="11"/>
      <c r="O142" s="11"/>
      <c r="P142" s="11"/>
      <c r="Q142" s="11"/>
      <c r="S142" s="11"/>
      <c r="T142" s="11"/>
      <c r="U142" s="11"/>
      <c r="V142" s="11"/>
      <c r="X142" s="11"/>
    </row>
    <row r="143"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N143" s="11"/>
      <c r="O143" s="11"/>
      <c r="P143" s="11"/>
      <c r="Q143" s="11"/>
      <c r="S143" s="11"/>
      <c r="T143" s="11"/>
      <c r="U143" s="11"/>
      <c r="V143" s="11"/>
      <c r="X143" s="11"/>
    </row>
    <row r="144"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N144" s="11"/>
      <c r="O144" s="11"/>
      <c r="P144" s="11"/>
      <c r="Q144" s="11"/>
      <c r="S144" s="11"/>
      <c r="T144" s="11"/>
      <c r="U144" s="11"/>
      <c r="V144" s="11"/>
      <c r="X144" s="11"/>
    </row>
    <row r="145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N145" s="11"/>
      <c r="O145" s="11"/>
      <c r="P145" s="11"/>
      <c r="Q145" s="11"/>
      <c r="S145" s="11"/>
      <c r="T145" s="11"/>
      <c r="U145" s="11"/>
      <c r="V145" s="11"/>
      <c r="X145" s="11"/>
    </row>
    <row r="146"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N146" s="11"/>
      <c r="O146" s="11"/>
      <c r="P146" s="11"/>
      <c r="Q146" s="11"/>
      <c r="S146" s="11"/>
      <c r="T146" s="11"/>
      <c r="U146" s="11"/>
      <c r="V146" s="11"/>
      <c r="X146" s="11"/>
    </row>
    <row r="147"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N147" s="11"/>
      <c r="O147" s="11"/>
      <c r="P147" s="11"/>
      <c r="Q147" s="11"/>
      <c r="S147" s="11"/>
      <c r="T147" s="11"/>
      <c r="U147" s="11"/>
      <c r="V147" s="11"/>
      <c r="X147" s="11"/>
    </row>
    <row r="148"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N148" s="11"/>
      <c r="O148" s="11"/>
      <c r="P148" s="11"/>
      <c r="Q148" s="11"/>
      <c r="S148" s="11"/>
      <c r="T148" s="11"/>
      <c r="U148" s="11"/>
      <c r="V148" s="11"/>
      <c r="X148" s="11"/>
    </row>
    <row r="149"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N149" s="11"/>
      <c r="O149" s="11"/>
      <c r="P149" s="11"/>
      <c r="Q149" s="11"/>
      <c r="S149" s="11"/>
      <c r="T149" s="11"/>
      <c r="U149" s="11"/>
      <c r="V149" s="11"/>
      <c r="X149" s="11"/>
    </row>
    <row r="150"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N150" s="11"/>
      <c r="O150" s="11"/>
      <c r="P150" s="11"/>
      <c r="Q150" s="11"/>
      <c r="S150" s="11"/>
      <c r="T150" s="11"/>
      <c r="U150" s="11"/>
      <c r="V150" s="11"/>
      <c r="X150" s="11"/>
    </row>
    <row r="151"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N151" s="11"/>
      <c r="O151" s="11"/>
      <c r="P151" s="11"/>
      <c r="Q151" s="11"/>
      <c r="S151" s="11"/>
      <c r="T151" s="11"/>
      <c r="U151" s="11"/>
      <c r="V151" s="11"/>
      <c r="X151" s="11"/>
    </row>
    <row r="152"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N152" s="11"/>
      <c r="O152" s="11"/>
      <c r="P152" s="11"/>
      <c r="Q152" s="11"/>
      <c r="S152" s="11"/>
      <c r="T152" s="11"/>
      <c r="U152" s="11"/>
      <c r="V152" s="11"/>
      <c r="X152" s="11"/>
    </row>
    <row r="153"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N153" s="11"/>
      <c r="O153" s="11"/>
      <c r="P153" s="11"/>
      <c r="Q153" s="11"/>
      <c r="S153" s="11"/>
      <c r="T153" s="11"/>
      <c r="U153" s="11"/>
      <c r="V153" s="11"/>
      <c r="X153" s="11"/>
    </row>
    <row r="154"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N154" s="11"/>
      <c r="O154" s="11"/>
      <c r="P154" s="11"/>
      <c r="Q154" s="11"/>
      <c r="S154" s="11"/>
      <c r="T154" s="11"/>
      <c r="U154" s="11"/>
      <c r="V154" s="11"/>
      <c r="X154" s="11"/>
    </row>
    <row r="155"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N155" s="11"/>
      <c r="O155" s="11"/>
      <c r="P155" s="11"/>
      <c r="Q155" s="11"/>
      <c r="S155" s="11"/>
      <c r="T155" s="11"/>
      <c r="U155" s="11"/>
      <c r="V155" s="11"/>
      <c r="X155" s="11"/>
    </row>
    <row r="156"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N156" s="11"/>
      <c r="O156" s="11"/>
      <c r="P156" s="11"/>
      <c r="Q156" s="11"/>
      <c r="S156" s="11"/>
      <c r="T156" s="11"/>
      <c r="U156" s="11"/>
      <c r="V156" s="11"/>
      <c r="X156" s="11"/>
    </row>
    <row r="157"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N157" s="11"/>
      <c r="O157" s="11"/>
      <c r="P157" s="11"/>
      <c r="Q157" s="11"/>
      <c r="S157" s="11"/>
      <c r="T157" s="11"/>
      <c r="U157" s="11"/>
      <c r="V157" s="11"/>
      <c r="X157" s="11"/>
    </row>
    <row r="158"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N158" s="11"/>
      <c r="O158" s="11"/>
      <c r="P158" s="11"/>
      <c r="Q158" s="11"/>
      <c r="S158" s="11"/>
      <c r="T158" s="11"/>
      <c r="U158" s="11"/>
      <c r="V158" s="11"/>
      <c r="X158" s="11"/>
    </row>
    <row r="159"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N159" s="11"/>
      <c r="O159" s="11"/>
      <c r="P159" s="11"/>
      <c r="Q159" s="11"/>
      <c r="S159" s="11"/>
      <c r="T159" s="11"/>
      <c r="U159" s="11"/>
      <c r="V159" s="11"/>
      <c r="X159" s="11"/>
    </row>
    <row r="160"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N160" s="11"/>
      <c r="O160" s="11"/>
      <c r="P160" s="11"/>
      <c r="Q160" s="11"/>
      <c r="S160" s="11"/>
      <c r="T160" s="11"/>
      <c r="U160" s="11"/>
      <c r="V160" s="11"/>
      <c r="X160" s="11"/>
    </row>
    <row r="161"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N161" s="11"/>
      <c r="O161" s="11"/>
      <c r="P161" s="11"/>
      <c r="Q161" s="11"/>
      <c r="S161" s="11"/>
      <c r="T161" s="11"/>
      <c r="U161" s="11"/>
      <c r="V161" s="11"/>
      <c r="X161" s="11"/>
    </row>
    <row r="162"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N162" s="11"/>
      <c r="O162" s="11"/>
      <c r="P162" s="11"/>
      <c r="Q162" s="11"/>
      <c r="S162" s="11"/>
      <c r="T162" s="11"/>
      <c r="U162" s="11"/>
      <c r="V162" s="11"/>
      <c r="X162" s="11"/>
    </row>
    <row r="163"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N163" s="11"/>
      <c r="O163" s="11"/>
      <c r="P163" s="11"/>
      <c r="Q163" s="11"/>
      <c r="S163" s="11"/>
      <c r="T163" s="11"/>
      <c r="U163" s="11"/>
      <c r="V163" s="11"/>
      <c r="X163" s="11"/>
    </row>
    <row r="164"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N164" s="11"/>
      <c r="O164" s="11"/>
      <c r="P164" s="11"/>
      <c r="Q164" s="11"/>
      <c r="S164" s="11"/>
      <c r="T164" s="11"/>
      <c r="U164" s="11"/>
      <c r="V164" s="11"/>
      <c r="X164" s="11"/>
    </row>
    <row r="165"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N165" s="11"/>
      <c r="O165" s="11"/>
      <c r="P165" s="11"/>
      <c r="Q165" s="11"/>
      <c r="S165" s="11"/>
      <c r="T165" s="11"/>
      <c r="U165" s="11"/>
      <c r="V165" s="11"/>
      <c r="X165" s="11"/>
    </row>
    <row r="166"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N166" s="11"/>
      <c r="O166" s="11"/>
      <c r="P166" s="11"/>
      <c r="Q166" s="11"/>
      <c r="S166" s="11"/>
      <c r="T166" s="11"/>
      <c r="U166" s="11"/>
      <c r="V166" s="11"/>
      <c r="X166" s="11"/>
    </row>
    <row r="167"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N167" s="11"/>
      <c r="O167" s="11"/>
      <c r="P167" s="11"/>
      <c r="Q167" s="11"/>
      <c r="S167" s="11"/>
      <c r="T167" s="11"/>
      <c r="U167" s="11"/>
      <c r="V167" s="11"/>
      <c r="X167" s="11"/>
    </row>
    <row r="168"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N168" s="11"/>
      <c r="O168" s="11"/>
      <c r="P168" s="11"/>
      <c r="Q168" s="11"/>
      <c r="S168" s="11"/>
      <c r="T168" s="11"/>
      <c r="U168" s="11"/>
      <c r="V168" s="11"/>
      <c r="X168" s="11"/>
    </row>
    <row r="169"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N169" s="11"/>
      <c r="O169" s="11"/>
      <c r="P169" s="11"/>
      <c r="Q169" s="11"/>
      <c r="S169" s="11"/>
      <c r="T169" s="11"/>
      <c r="U169" s="11"/>
      <c r="V169" s="11"/>
      <c r="X169" s="11"/>
    </row>
    <row r="170"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N170" s="11"/>
      <c r="O170" s="11"/>
      <c r="P170" s="11"/>
      <c r="Q170" s="11"/>
      <c r="S170" s="11"/>
      <c r="T170" s="11"/>
      <c r="U170" s="11"/>
      <c r="V170" s="11"/>
      <c r="X170" s="11"/>
    </row>
    <row r="171"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N171" s="11"/>
      <c r="O171" s="11"/>
      <c r="P171" s="11"/>
      <c r="Q171" s="11"/>
      <c r="S171" s="11"/>
      <c r="T171" s="11"/>
      <c r="U171" s="11"/>
      <c r="V171" s="11"/>
      <c r="X171" s="11"/>
    </row>
    <row r="172"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N172" s="11"/>
      <c r="O172" s="11"/>
      <c r="P172" s="11"/>
      <c r="Q172" s="11"/>
      <c r="S172" s="11"/>
      <c r="T172" s="11"/>
      <c r="U172" s="11"/>
      <c r="V172" s="11"/>
      <c r="X172" s="11"/>
    </row>
    <row r="173"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N173" s="11"/>
      <c r="O173" s="11"/>
      <c r="P173" s="11"/>
      <c r="Q173" s="11"/>
      <c r="S173" s="11"/>
      <c r="T173" s="11"/>
      <c r="U173" s="11"/>
      <c r="V173" s="11"/>
      <c r="X173" s="11"/>
    </row>
    <row r="174"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N174" s="11"/>
      <c r="O174" s="11"/>
      <c r="P174" s="11"/>
      <c r="Q174" s="11"/>
      <c r="S174" s="11"/>
      <c r="T174" s="11"/>
      <c r="U174" s="11"/>
      <c r="V174" s="11"/>
      <c r="X174" s="11"/>
    </row>
    <row r="175"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N175" s="11"/>
      <c r="O175" s="11"/>
      <c r="P175" s="11"/>
      <c r="Q175" s="11"/>
      <c r="S175" s="11"/>
      <c r="T175" s="11"/>
      <c r="U175" s="11"/>
      <c r="V175" s="11"/>
      <c r="X175" s="11"/>
    </row>
    <row r="176"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N176" s="11"/>
      <c r="O176" s="11"/>
      <c r="P176" s="11"/>
      <c r="Q176" s="11"/>
      <c r="S176" s="11"/>
      <c r="T176" s="11"/>
      <c r="U176" s="11"/>
      <c r="V176" s="11"/>
      <c r="X176" s="11"/>
    </row>
    <row r="177"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N177" s="11"/>
      <c r="O177" s="11"/>
      <c r="P177" s="11"/>
      <c r="Q177" s="11"/>
      <c r="S177" s="11"/>
      <c r="T177" s="11"/>
      <c r="U177" s="11"/>
      <c r="V177" s="11"/>
      <c r="X177" s="11"/>
    </row>
    <row r="178"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N178" s="11"/>
      <c r="O178" s="11"/>
      <c r="P178" s="11"/>
      <c r="Q178" s="11"/>
      <c r="S178" s="11"/>
      <c r="T178" s="11"/>
      <c r="U178" s="11"/>
      <c r="V178" s="11"/>
      <c r="X178" s="11"/>
    </row>
    <row r="179"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N179" s="11"/>
      <c r="O179" s="11"/>
      <c r="P179" s="11"/>
      <c r="Q179" s="11"/>
      <c r="S179" s="11"/>
      <c r="T179" s="11"/>
      <c r="U179" s="11"/>
      <c r="V179" s="11"/>
      <c r="X179" s="11"/>
    </row>
    <row r="180"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N180" s="11"/>
      <c r="O180" s="11"/>
      <c r="P180" s="11"/>
      <c r="Q180" s="11"/>
      <c r="S180" s="11"/>
      <c r="T180" s="11"/>
      <c r="U180" s="11"/>
      <c r="V180" s="11"/>
      <c r="X180" s="11"/>
    </row>
    <row r="181"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N181" s="11"/>
      <c r="O181" s="11"/>
      <c r="P181" s="11"/>
      <c r="Q181" s="11"/>
      <c r="S181" s="11"/>
      <c r="T181" s="11"/>
      <c r="U181" s="11"/>
      <c r="V181" s="11"/>
      <c r="X181" s="11"/>
    </row>
    <row r="182"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N182" s="11"/>
      <c r="O182" s="11"/>
      <c r="P182" s="11"/>
      <c r="Q182" s="11"/>
      <c r="S182" s="11"/>
      <c r="T182" s="11"/>
      <c r="U182" s="11"/>
      <c r="V182" s="11"/>
      <c r="X182" s="11"/>
    </row>
    <row r="183"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N183" s="11"/>
      <c r="O183" s="11"/>
      <c r="P183" s="11"/>
      <c r="Q183" s="11"/>
      <c r="S183" s="11"/>
      <c r="T183" s="11"/>
      <c r="U183" s="11"/>
      <c r="V183" s="11"/>
      <c r="X183" s="11"/>
    </row>
    <row r="184"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N184" s="11"/>
      <c r="O184" s="11"/>
      <c r="P184" s="11"/>
      <c r="Q184" s="11"/>
      <c r="S184" s="11"/>
      <c r="T184" s="11"/>
      <c r="U184" s="11"/>
      <c r="V184" s="11"/>
      <c r="X184" s="11"/>
    </row>
    <row r="185"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N185" s="11"/>
      <c r="O185" s="11"/>
      <c r="P185" s="11"/>
      <c r="Q185" s="11"/>
      <c r="S185" s="11"/>
      <c r="T185" s="11"/>
      <c r="U185" s="11"/>
      <c r="V185" s="11"/>
      <c r="X185" s="11"/>
    </row>
    <row r="186"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N186" s="11"/>
      <c r="O186" s="11"/>
      <c r="P186" s="11"/>
      <c r="Q186" s="11"/>
      <c r="S186" s="11"/>
      <c r="T186" s="11"/>
      <c r="U186" s="11"/>
      <c r="V186" s="11"/>
      <c r="X186" s="11"/>
    </row>
    <row r="187"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N187" s="11"/>
      <c r="O187" s="11"/>
      <c r="P187" s="11"/>
      <c r="Q187" s="11"/>
      <c r="S187" s="11"/>
      <c r="T187" s="11"/>
      <c r="U187" s="11"/>
      <c r="V187" s="11"/>
      <c r="X187" s="11"/>
    </row>
    <row r="188"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N188" s="11"/>
      <c r="O188" s="11"/>
      <c r="P188" s="11"/>
      <c r="Q188" s="11"/>
      <c r="S188" s="11"/>
      <c r="T188" s="11"/>
      <c r="U188" s="11"/>
      <c r="V188" s="11"/>
      <c r="X188" s="11"/>
    </row>
    <row r="189"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N189" s="11"/>
      <c r="O189" s="11"/>
      <c r="P189" s="11"/>
      <c r="Q189" s="11"/>
      <c r="S189" s="11"/>
      <c r="T189" s="11"/>
      <c r="U189" s="11"/>
      <c r="V189" s="11"/>
      <c r="X189" s="11"/>
    </row>
    <row r="190"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N190" s="11"/>
      <c r="O190" s="11"/>
      <c r="P190" s="11"/>
      <c r="Q190" s="11"/>
      <c r="S190" s="11"/>
      <c r="T190" s="11"/>
      <c r="U190" s="11"/>
      <c r="V190" s="11"/>
      <c r="X190" s="11"/>
    </row>
    <row r="191"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N191" s="11"/>
      <c r="O191" s="11"/>
      <c r="P191" s="11"/>
      <c r="Q191" s="11"/>
      <c r="S191" s="11"/>
      <c r="T191" s="11"/>
      <c r="U191" s="11"/>
      <c r="V191" s="11"/>
      <c r="X191" s="11"/>
    </row>
    <row r="192"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N192" s="11"/>
      <c r="O192" s="11"/>
      <c r="P192" s="11"/>
      <c r="Q192" s="11"/>
      <c r="S192" s="11"/>
      <c r="T192" s="11"/>
      <c r="U192" s="11"/>
      <c r="V192" s="11"/>
      <c r="X192" s="11"/>
    </row>
    <row r="193"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N193" s="11"/>
      <c r="O193" s="11"/>
      <c r="P193" s="11"/>
      <c r="Q193" s="11"/>
      <c r="S193" s="11"/>
      <c r="T193" s="11"/>
      <c r="U193" s="11"/>
      <c r="V193" s="11"/>
      <c r="X193" s="11"/>
    </row>
    <row r="194"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N194" s="11"/>
      <c r="O194" s="11"/>
      <c r="P194" s="11"/>
      <c r="Q194" s="11"/>
      <c r="S194" s="11"/>
      <c r="T194" s="11"/>
      <c r="U194" s="11"/>
      <c r="V194" s="11"/>
      <c r="X194" s="11"/>
    </row>
    <row r="195"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N195" s="11"/>
      <c r="O195" s="11"/>
      <c r="P195" s="11"/>
      <c r="Q195" s="11"/>
      <c r="S195" s="11"/>
      <c r="T195" s="11"/>
      <c r="U195" s="11"/>
      <c r="V195" s="11"/>
      <c r="X195" s="11"/>
    </row>
    <row r="196"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N196" s="11"/>
      <c r="O196" s="11"/>
      <c r="P196" s="11"/>
      <c r="Q196" s="11"/>
      <c r="S196" s="11"/>
      <c r="T196" s="11"/>
      <c r="U196" s="11"/>
      <c r="V196" s="11"/>
      <c r="X196" s="11"/>
    </row>
    <row r="197"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N197" s="11"/>
      <c r="O197" s="11"/>
      <c r="P197" s="11"/>
      <c r="Q197" s="11"/>
      <c r="S197" s="11"/>
      <c r="T197" s="11"/>
      <c r="U197" s="11"/>
      <c r="V197" s="11"/>
      <c r="X197" s="11"/>
    </row>
    <row r="198"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N198" s="11"/>
      <c r="O198" s="11"/>
      <c r="P198" s="11"/>
      <c r="Q198" s="11"/>
      <c r="S198" s="11"/>
      <c r="T198" s="11"/>
      <c r="U198" s="11"/>
      <c r="V198" s="11"/>
      <c r="X198" s="11"/>
    </row>
    <row r="199"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N199" s="11"/>
      <c r="O199" s="11"/>
      <c r="P199" s="11"/>
      <c r="Q199" s="11"/>
      <c r="S199" s="11"/>
      <c r="T199" s="11"/>
      <c r="U199" s="11"/>
      <c r="V199" s="11"/>
      <c r="X199" s="11"/>
    </row>
    <row r="200"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N200" s="11"/>
      <c r="O200" s="11"/>
      <c r="P200" s="11"/>
      <c r="Q200" s="11"/>
      <c r="S200" s="11"/>
      <c r="T200" s="11"/>
      <c r="U200" s="11"/>
      <c r="V200" s="11"/>
      <c r="X200" s="11"/>
    </row>
    <row r="201"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N201" s="11"/>
      <c r="O201" s="11"/>
      <c r="P201" s="11"/>
      <c r="Q201" s="11"/>
      <c r="S201" s="11"/>
      <c r="T201" s="11"/>
      <c r="U201" s="11"/>
      <c r="V201" s="11"/>
      <c r="X201" s="11"/>
    </row>
    <row r="202"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N202" s="11"/>
      <c r="O202" s="11"/>
      <c r="P202" s="11"/>
      <c r="Q202" s="11"/>
      <c r="S202" s="11"/>
      <c r="T202" s="11"/>
      <c r="U202" s="11"/>
      <c r="V202" s="11"/>
      <c r="X202" s="11"/>
    </row>
    <row r="203"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N203" s="11"/>
      <c r="O203" s="11"/>
      <c r="P203" s="11"/>
      <c r="Q203" s="11"/>
      <c r="S203" s="11"/>
      <c r="T203" s="11"/>
      <c r="U203" s="11"/>
      <c r="V203" s="11"/>
      <c r="X203" s="11"/>
    </row>
    <row r="204"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N204" s="11"/>
      <c r="O204" s="11"/>
      <c r="P204" s="11"/>
      <c r="Q204" s="11"/>
      <c r="S204" s="11"/>
      <c r="T204" s="11"/>
      <c r="U204" s="11"/>
      <c r="V204" s="11"/>
      <c r="X204" s="11"/>
    </row>
    <row r="205"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N205" s="11"/>
      <c r="O205" s="11"/>
      <c r="P205" s="11"/>
      <c r="Q205" s="11"/>
      <c r="S205" s="11"/>
      <c r="T205" s="11"/>
      <c r="U205" s="11"/>
      <c r="V205" s="11"/>
      <c r="X205" s="11"/>
    </row>
    <row r="206"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N206" s="11"/>
      <c r="O206" s="11"/>
      <c r="P206" s="11"/>
      <c r="Q206" s="11"/>
      <c r="S206" s="11"/>
      <c r="T206" s="11"/>
      <c r="U206" s="11"/>
      <c r="V206" s="11"/>
      <c r="X206" s="11"/>
    </row>
    <row r="207"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N207" s="11"/>
      <c r="O207" s="11"/>
      <c r="P207" s="11"/>
      <c r="Q207" s="11"/>
      <c r="S207" s="11"/>
      <c r="T207" s="11"/>
      <c r="U207" s="11"/>
      <c r="V207" s="11"/>
      <c r="X207" s="11"/>
    </row>
    <row r="208"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N208" s="11"/>
      <c r="O208" s="11"/>
      <c r="P208" s="11"/>
      <c r="Q208" s="11"/>
      <c r="S208" s="11"/>
      <c r="T208" s="11"/>
      <c r="U208" s="11"/>
      <c r="V208" s="11"/>
      <c r="X208" s="11"/>
    </row>
    <row r="209"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N209" s="11"/>
      <c r="O209" s="11"/>
      <c r="P209" s="11"/>
      <c r="Q209" s="11"/>
      <c r="S209" s="11"/>
      <c r="T209" s="11"/>
      <c r="U209" s="11"/>
      <c r="V209" s="11"/>
      <c r="X209" s="11"/>
    </row>
    <row r="210"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N210" s="11"/>
      <c r="O210" s="11"/>
      <c r="P210" s="11"/>
      <c r="Q210" s="11"/>
      <c r="S210" s="11"/>
      <c r="T210" s="11"/>
      <c r="U210" s="11"/>
      <c r="V210" s="11"/>
      <c r="X210" s="11"/>
    </row>
    <row r="211"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N211" s="11"/>
      <c r="O211" s="11"/>
      <c r="P211" s="11"/>
      <c r="Q211" s="11"/>
      <c r="S211" s="11"/>
      <c r="T211" s="11"/>
      <c r="U211" s="11"/>
      <c r="V211" s="11"/>
      <c r="X211" s="11"/>
    </row>
    <row r="212"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N212" s="11"/>
      <c r="O212" s="11"/>
      <c r="P212" s="11"/>
      <c r="Q212" s="11"/>
      <c r="S212" s="11"/>
      <c r="T212" s="11"/>
      <c r="U212" s="11"/>
      <c r="V212" s="11"/>
      <c r="X212" s="11"/>
    </row>
    <row r="213"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N213" s="11"/>
      <c r="O213" s="11"/>
      <c r="P213" s="11"/>
      <c r="Q213" s="11"/>
      <c r="S213" s="11"/>
      <c r="T213" s="11"/>
      <c r="U213" s="11"/>
      <c r="V213" s="11"/>
      <c r="X213" s="11"/>
    </row>
    <row r="214"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N214" s="11"/>
      <c r="O214" s="11"/>
      <c r="P214" s="11"/>
      <c r="Q214" s="11"/>
      <c r="S214" s="11"/>
      <c r="T214" s="11"/>
      <c r="U214" s="11"/>
      <c r="V214" s="11"/>
      <c r="X214" s="11"/>
    </row>
    <row r="215"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N215" s="11"/>
      <c r="O215" s="11"/>
      <c r="P215" s="11"/>
      <c r="Q215" s="11"/>
      <c r="S215" s="11"/>
      <c r="T215" s="11"/>
      <c r="U215" s="11"/>
      <c r="V215" s="11"/>
      <c r="X215" s="11"/>
    </row>
    <row r="216"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N216" s="11"/>
      <c r="O216" s="11"/>
      <c r="P216" s="11"/>
      <c r="Q216" s="11"/>
      <c r="S216" s="11"/>
      <c r="T216" s="11"/>
      <c r="U216" s="11"/>
      <c r="V216" s="11"/>
      <c r="X216" s="11"/>
    </row>
    <row r="217"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N217" s="11"/>
      <c r="O217" s="11"/>
      <c r="P217" s="11"/>
      <c r="Q217" s="11"/>
      <c r="S217" s="11"/>
      <c r="T217" s="11"/>
      <c r="U217" s="11"/>
      <c r="V217" s="11"/>
      <c r="X217" s="11"/>
    </row>
    <row r="218"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N218" s="11"/>
      <c r="O218" s="11"/>
      <c r="P218" s="11"/>
      <c r="Q218" s="11"/>
      <c r="S218" s="11"/>
      <c r="T218" s="11"/>
      <c r="U218" s="11"/>
      <c r="V218" s="11"/>
      <c r="X218" s="11"/>
    </row>
    <row r="219"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N219" s="11"/>
      <c r="O219" s="11"/>
      <c r="P219" s="11"/>
      <c r="Q219" s="11"/>
      <c r="S219" s="11"/>
      <c r="T219" s="11"/>
      <c r="U219" s="11"/>
      <c r="V219" s="11"/>
      <c r="X219" s="11"/>
    </row>
    <row r="220"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N220" s="11"/>
      <c r="O220" s="11"/>
      <c r="P220" s="11"/>
      <c r="Q220" s="11"/>
      <c r="S220" s="11"/>
      <c r="T220" s="11"/>
      <c r="U220" s="11"/>
      <c r="V220" s="11"/>
      <c r="X220" s="11"/>
    </row>
    <row r="221"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N221" s="11"/>
      <c r="O221" s="11"/>
      <c r="P221" s="11"/>
      <c r="Q221" s="11"/>
      <c r="S221" s="11"/>
      <c r="T221" s="11"/>
      <c r="U221" s="11"/>
      <c r="V221" s="11"/>
      <c r="X221" s="11"/>
    </row>
    <row r="222"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N222" s="11"/>
      <c r="O222" s="11"/>
      <c r="P222" s="11"/>
      <c r="Q222" s="11"/>
      <c r="S222" s="11"/>
      <c r="T222" s="11"/>
      <c r="U222" s="11"/>
      <c r="V222" s="11"/>
      <c r="X222" s="11"/>
    </row>
    <row r="223"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N223" s="11"/>
      <c r="O223" s="11"/>
      <c r="P223" s="11"/>
      <c r="Q223" s="11"/>
      <c r="S223" s="11"/>
      <c r="T223" s="11"/>
      <c r="U223" s="11"/>
      <c r="V223" s="11"/>
      <c r="X223" s="11"/>
    </row>
    <row r="224"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N224" s="11"/>
      <c r="O224" s="11"/>
      <c r="P224" s="11"/>
      <c r="Q224" s="11"/>
      <c r="S224" s="11"/>
      <c r="T224" s="11"/>
      <c r="U224" s="11"/>
      <c r="V224" s="11"/>
      <c r="X224" s="11"/>
    </row>
    <row r="225"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N225" s="11"/>
      <c r="O225" s="11"/>
      <c r="P225" s="11"/>
      <c r="Q225" s="11"/>
      <c r="S225" s="11"/>
      <c r="T225" s="11"/>
      <c r="U225" s="11"/>
      <c r="V225" s="11"/>
      <c r="X225" s="11"/>
    </row>
    <row r="226"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N226" s="11"/>
      <c r="O226" s="11"/>
      <c r="P226" s="11"/>
      <c r="Q226" s="11"/>
      <c r="S226" s="11"/>
      <c r="T226" s="11"/>
      <c r="U226" s="11"/>
      <c r="V226" s="11"/>
      <c r="X226" s="11"/>
    </row>
    <row r="227"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N227" s="11"/>
      <c r="O227" s="11"/>
      <c r="P227" s="11"/>
      <c r="Q227" s="11"/>
      <c r="S227" s="11"/>
      <c r="T227" s="11"/>
      <c r="U227" s="11"/>
      <c r="V227" s="11"/>
      <c r="X227" s="11"/>
    </row>
    <row r="228"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N228" s="11"/>
      <c r="O228" s="11"/>
      <c r="P228" s="11"/>
      <c r="Q228" s="11"/>
      <c r="S228" s="11"/>
      <c r="T228" s="11"/>
      <c r="U228" s="11"/>
      <c r="V228" s="11"/>
      <c r="X228" s="11"/>
    </row>
    <row r="229"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N229" s="11"/>
      <c r="O229" s="11"/>
      <c r="P229" s="11"/>
      <c r="Q229" s="11"/>
      <c r="S229" s="11"/>
      <c r="T229" s="11"/>
      <c r="U229" s="11"/>
      <c r="V229" s="11"/>
      <c r="X229" s="11"/>
    </row>
    <row r="230"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N230" s="11"/>
      <c r="O230" s="11"/>
      <c r="P230" s="11"/>
      <c r="Q230" s="11"/>
      <c r="S230" s="11"/>
      <c r="T230" s="11"/>
      <c r="U230" s="11"/>
      <c r="V230" s="11"/>
      <c r="X230" s="11"/>
    </row>
    <row r="231"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N231" s="11"/>
      <c r="O231" s="11"/>
      <c r="P231" s="11"/>
      <c r="Q231" s="11"/>
      <c r="S231" s="11"/>
      <c r="T231" s="11"/>
      <c r="U231" s="11"/>
      <c r="V231" s="11"/>
      <c r="X231" s="11"/>
    </row>
    <row r="232"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N232" s="11"/>
      <c r="O232" s="11"/>
      <c r="P232" s="11"/>
      <c r="Q232" s="11"/>
      <c r="S232" s="11"/>
      <c r="T232" s="11"/>
      <c r="U232" s="11"/>
      <c r="V232" s="11"/>
      <c r="X232" s="11"/>
    </row>
    <row r="233"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N233" s="11"/>
      <c r="O233" s="11"/>
      <c r="P233" s="11"/>
      <c r="Q233" s="11"/>
      <c r="S233" s="11"/>
      <c r="T233" s="11"/>
      <c r="U233" s="11"/>
      <c r="V233" s="11"/>
      <c r="X233" s="11"/>
    </row>
    <row r="234"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N234" s="11"/>
      <c r="O234" s="11"/>
      <c r="P234" s="11"/>
      <c r="Q234" s="11"/>
      <c r="S234" s="11"/>
      <c r="T234" s="11"/>
      <c r="U234" s="11"/>
      <c r="V234" s="11"/>
      <c r="X234" s="11"/>
    </row>
    <row r="235"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N235" s="11"/>
      <c r="O235" s="11"/>
      <c r="P235" s="11"/>
      <c r="Q235" s="11"/>
      <c r="S235" s="11"/>
      <c r="T235" s="11"/>
      <c r="U235" s="11"/>
      <c r="V235" s="11"/>
      <c r="X235" s="11"/>
    </row>
    <row r="236"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N236" s="11"/>
      <c r="O236" s="11"/>
      <c r="P236" s="11"/>
      <c r="Q236" s="11"/>
      <c r="S236" s="11"/>
      <c r="T236" s="11"/>
      <c r="U236" s="11"/>
      <c r="V236" s="11"/>
      <c r="X236" s="11"/>
    </row>
    <row r="237"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N237" s="11"/>
      <c r="O237" s="11"/>
      <c r="P237" s="11"/>
      <c r="Q237" s="11"/>
      <c r="S237" s="11"/>
      <c r="T237" s="11"/>
      <c r="U237" s="11"/>
      <c r="V237" s="11"/>
      <c r="X237" s="11"/>
    </row>
    <row r="238"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N238" s="11"/>
      <c r="O238" s="11"/>
      <c r="P238" s="11"/>
      <c r="Q238" s="11"/>
      <c r="S238" s="11"/>
      <c r="T238" s="11"/>
      <c r="U238" s="11"/>
      <c r="V238" s="11"/>
      <c r="X238" s="11"/>
    </row>
    <row r="239"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N239" s="11"/>
      <c r="O239" s="11"/>
      <c r="P239" s="11"/>
      <c r="Q239" s="11"/>
      <c r="S239" s="11"/>
      <c r="T239" s="11"/>
      <c r="U239" s="11"/>
      <c r="V239" s="11"/>
      <c r="X239" s="11"/>
    </row>
    <row r="240"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N240" s="11"/>
      <c r="O240" s="11"/>
      <c r="P240" s="11"/>
      <c r="Q240" s="11"/>
      <c r="S240" s="11"/>
      <c r="T240" s="11"/>
      <c r="U240" s="11"/>
      <c r="V240" s="11"/>
      <c r="X240" s="11"/>
    </row>
    <row r="241"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N241" s="11"/>
      <c r="O241" s="11"/>
      <c r="P241" s="11"/>
      <c r="Q241" s="11"/>
      <c r="S241" s="11"/>
      <c r="T241" s="11"/>
      <c r="U241" s="11"/>
      <c r="V241" s="11"/>
      <c r="X241" s="11"/>
    </row>
    <row r="242"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N242" s="11"/>
      <c r="O242" s="11"/>
      <c r="P242" s="11"/>
      <c r="Q242" s="11"/>
      <c r="S242" s="11"/>
      <c r="T242" s="11"/>
      <c r="U242" s="11"/>
      <c r="V242" s="11"/>
      <c r="X242" s="11"/>
    </row>
    <row r="243"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N243" s="11"/>
      <c r="O243" s="11"/>
      <c r="P243" s="11"/>
      <c r="Q243" s="11"/>
      <c r="S243" s="11"/>
      <c r="T243" s="11"/>
      <c r="U243" s="11"/>
      <c r="V243" s="11"/>
      <c r="X243" s="11"/>
    </row>
    <row r="244"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N244" s="11"/>
      <c r="O244" s="11"/>
      <c r="P244" s="11"/>
      <c r="Q244" s="11"/>
      <c r="S244" s="11"/>
      <c r="T244" s="11"/>
      <c r="U244" s="11"/>
      <c r="V244" s="11"/>
      <c r="X244" s="11"/>
    </row>
    <row r="245"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N245" s="11"/>
      <c r="O245" s="11"/>
      <c r="P245" s="11"/>
      <c r="Q245" s="11"/>
      <c r="S245" s="11"/>
      <c r="T245" s="11"/>
      <c r="U245" s="11"/>
      <c r="V245" s="11"/>
      <c r="X245" s="11"/>
    </row>
    <row r="246"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N246" s="11"/>
      <c r="O246" s="11"/>
      <c r="P246" s="11"/>
      <c r="Q246" s="11"/>
      <c r="S246" s="11"/>
      <c r="T246" s="11"/>
      <c r="U246" s="11"/>
      <c r="V246" s="11"/>
      <c r="X246" s="11"/>
    </row>
    <row r="247"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N247" s="11"/>
      <c r="O247" s="11"/>
      <c r="P247" s="11"/>
      <c r="Q247" s="11"/>
      <c r="S247" s="11"/>
      <c r="T247" s="11"/>
      <c r="U247" s="11"/>
      <c r="V247" s="11"/>
      <c r="X247" s="11"/>
    </row>
    <row r="248"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N248" s="11"/>
      <c r="O248" s="11"/>
      <c r="P248" s="11"/>
      <c r="Q248" s="11"/>
      <c r="S248" s="11"/>
      <c r="T248" s="11"/>
      <c r="U248" s="11"/>
      <c r="V248" s="11"/>
      <c r="X248" s="11"/>
    </row>
    <row r="249"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N249" s="11"/>
      <c r="O249" s="11"/>
      <c r="P249" s="11"/>
      <c r="Q249" s="11"/>
      <c r="S249" s="11"/>
      <c r="T249" s="11"/>
      <c r="U249" s="11"/>
      <c r="V249" s="11"/>
      <c r="X249" s="11"/>
    </row>
    <row r="250"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N250" s="11"/>
      <c r="O250" s="11"/>
      <c r="P250" s="11"/>
      <c r="Q250" s="11"/>
      <c r="S250" s="11"/>
      <c r="T250" s="11"/>
      <c r="U250" s="11"/>
      <c r="V250" s="11"/>
      <c r="X250" s="11"/>
    </row>
    <row r="251"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N251" s="11"/>
      <c r="O251" s="11"/>
      <c r="P251" s="11"/>
      <c r="Q251" s="11"/>
      <c r="S251" s="11"/>
      <c r="T251" s="11"/>
      <c r="U251" s="11"/>
      <c r="V251" s="11"/>
      <c r="X251" s="11"/>
    </row>
    <row r="252"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N252" s="11"/>
      <c r="O252" s="11"/>
      <c r="P252" s="11"/>
      <c r="Q252" s="11"/>
      <c r="S252" s="11"/>
      <c r="T252" s="11"/>
      <c r="U252" s="11"/>
      <c r="V252" s="11"/>
      <c r="X252" s="11"/>
    </row>
    <row r="253"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N253" s="11"/>
      <c r="O253" s="11"/>
      <c r="P253" s="11"/>
      <c r="Q253" s="11"/>
      <c r="S253" s="11"/>
      <c r="T253" s="11"/>
      <c r="U253" s="11"/>
      <c r="V253" s="11"/>
      <c r="X253" s="11"/>
    </row>
    <row r="254"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N254" s="11"/>
      <c r="O254" s="11"/>
      <c r="P254" s="11"/>
      <c r="Q254" s="11"/>
      <c r="S254" s="11"/>
      <c r="T254" s="11"/>
      <c r="U254" s="11"/>
      <c r="V254" s="11"/>
      <c r="X254" s="11"/>
    </row>
    <row r="255"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N255" s="11"/>
      <c r="O255" s="11"/>
      <c r="P255" s="11"/>
      <c r="Q255" s="11"/>
      <c r="S255" s="11"/>
      <c r="T255" s="11"/>
      <c r="U255" s="11"/>
      <c r="V255" s="11"/>
      <c r="X255" s="11"/>
    </row>
    <row r="256"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N256" s="11"/>
      <c r="O256" s="11"/>
      <c r="P256" s="11"/>
      <c r="Q256" s="11"/>
      <c r="S256" s="11"/>
      <c r="T256" s="11"/>
      <c r="U256" s="11"/>
      <c r="V256" s="11"/>
      <c r="X256" s="11"/>
    </row>
    <row r="257"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N257" s="11"/>
      <c r="O257" s="11"/>
      <c r="P257" s="11"/>
      <c r="Q257" s="11"/>
      <c r="S257" s="11"/>
      <c r="T257" s="11"/>
      <c r="U257" s="11"/>
      <c r="V257" s="11"/>
      <c r="X257" s="11"/>
    </row>
    <row r="258"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N258" s="11"/>
      <c r="O258" s="11"/>
      <c r="P258" s="11"/>
      <c r="Q258" s="11"/>
      <c r="S258" s="11"/>
      <c r="T258" s="11"/>
      <c r="U258" s="11"/>
      <c r="V258" s="11"/>
      <c r="X258" s="11"/>
    </row>
    <row r="259"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N259" s="11"/>
      <c r="O259" s="11"/>
      <c r="P259" s="11"/>
      <c r="Q259" s="11"/>
      <c r="S259" s="11"/>
      <c r="T259" s="11"/>
      <c r="U259" s="11"/>
      <c r="V259" s="11"/>
      <c r="X259" s="11"/>
    </row>
    <row r="260"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N260" s="11"/>
      <c r="O260" s="11"/>
      <c r="P260" s="11"/>
      <c r="Q260" s="11"/>
      <c r="S260" s="11"/>
      <c r="T260" s="11"/>
      <c r="U260" s="11"/>
      <c r="V260" s="11"/>
      <c r="X260" s="11"/>
    </row>
    <row r="261"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N261" s="11"/>
      <c r="O261" s="11"/>
      <c r="P261" s="11"/>
      <c r="Q261" s="11"/>
      <c r="S261" s="11"/>
      <c r="T261" s="11"/>
      <c r="U261" s="11"/>
      <c r="V261" s="11"/>
      <c r="X261" s="11"/>
    </row>
    <row r="262"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N262" s="11"/>
      <c r="O262" s="11"/>
      <c r="P262" s="11"/>
      <c r="Q262" s="11"/>
      <c r="S262" s="11"/>
      <c r="T262" s="11"/>
      <c r="U262" s="11"/>
      <c r="V262" s="11"/>
      <c r="X262" s="11"/>
    </row>
    <row r="263"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N263" s="11"/>
      <c r="O263" s="11"/>
      <c r="P263" s="11"/>
      <c r="Q263" s="11"/>
      <c r="S263" s="11"/>
      <c r="T263" s="11"/>
      <c r="U263" s="11"/>
      <c r="V263" s="11"/>
      <c r="X263" s="11"/>
    </row>
    <row r="264"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N264" s="11"/>
      <c r="O264" s="11"/>
      <c r="P264" s="11"/>
      <c r="Q264" s="11"/>
      <c r="S264" s="11"/>
      <c r="T264" s="11"/>
      <c r="U264" s="11"/>
      <c r="V264" s="11"/>
      <c r="X264" s="11"/>
    </row>
    <row r="265"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N265" s="11"/>
      <c r="O265" s="11"/>
      <c r="P265" s="11"/>
      <c r="Q265" s="11"/>
      <c r="S265" s="11"/>
      <c r="T265" s="11"/>
      <c r="U265" s="11"/>
      <c r="V265" s="11"/>
      <c r="X265" s="11"/>
    </row>
    <row r="266"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N266" s="11"/>
      <c r="O266" s="11"/>
      <c r="P266" s="11"/>
      <c r="Q266" s="11"/>
      <c r="S266" s="11"/>
      <c r="T266" s="11"/>
      <c r="U266" s="11"/>
      <c r="V266" s="11"/>
      <c r="X266" s="11"/>
    </row>
    <row r="267"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N267" s="11"/>
      <c r="O267" s="11"/>
      <c r="P267" s="11"/>
      <c r="Q267" s="11"/>
      <c r="S267" s="11"/>
      <c r="T267" s="11"/>
      <c r="U267" s="11"/>
      <c r="V267" s="11"/>
      <c r="X267" s="11"/>
    </row>
    <row r="268"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N268" s="11"/>
      <c r="O268" s="11"/>
      <c r="P268" s="11"/>
      <c r="Q268" s="11"/>
      <c r="S268" s="11"/>
      <c r="T268" s="11"/>
      <c r="U268" s="11"/>
      <c r="V268" s="11"/>
      <c r="X268" s="11"/>
    </row>
    <row r="269"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N269" s="11"/>
      <c r="O269" s="11"/>
      <c r="P269" s="11"/>
      <c r="Q269" s="11"/>
      <c r="S269" s="11"/>
      <c r="T269" s="11"/>
      <c r="U269" s="11"/>
      <c r="V269" s="11"/>
      <c r="X269" s="11"/>
    </row>
    <row r="270"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N270" s="11"/>
      <c r="O270" s="11"/>
      <c r="P270" s="11"/>
      <c r="Q270" s="11"/>
      <c r="S270" s="11"/>
      <c r="T270" s="11"/>
      <c r="U270" s="11"/>
      <c r="V270" s="11"/>
      <c r="X270" s="11"/>
    </row>
    <row r="271"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N271" s="11"/>
      <c r="O271" s="11"/>
      <c r="P271" s="11"/>
      <c r="Q271" s="11"/>
      <c r="S271" s="11"/>
      <c r="T271" s="11"/>
      <c r="U271" s="11"/>
      <c r="V271" s="11"/>
      <c r="X271" s="11"/>
    </row>
    <row r="272"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N272" s="11"/>
      <c r="O272" s="11"/>
      <c r="P272" s="11"/>
      <c r="Q272" s="11"/>
      <c r="S272" s="11"/>
      <c r="T272" s="11"/>
      <c r="U272" s="11"/>
      <c r="V272" s="11"/>
      <c r="X272" s="11"/>
    </row>
    <row r="273"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N273" s="11"/>
      <c r="O273" s="11"/>
      <c r="P273" s="11"/>
      <c r="Q273" s="11"/>
      <c r="S273" s="11"/>
      <c r="T273" s="11"/>
      <c r="U273" s="11"/>
      <c r="V273" s="11"/>
      <c r="X273" s="11"/>
    </row>
    <row r="274"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N274" s="11"/>
      <c r="O274" s="11"/>
      <c r="P274" s="11"/>
      <c r="Q274" s="11"/>
      <c r="S274" s="11"/>
      <c r="T274" s="11"/>
      <c r="U274" s="11"/>
      <c r="V274" s="11"/>
      <c r="X274" s="11"/>
    </row>
    <row r="275"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N275" s="11"/>
      <c r="O275" s="11"/>
      <c r="P275" s="11"/>
      <c r="Q275" s="11"/>
      <c r="S275" s="11"/>
      <c r="T275" s="11"/>
      <c r="U275" s="11"/>
      <c r="V275" s="11"/>
      <c r="X275" s="11"/>
    </row>
    <row r="276"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N276" s="11"/>
      <c r="O276" s="11"/>
      <c r="P276" s="11"/>
      <c r="Q276" s="11"/>
      <c r="S276" s="11"/>
      <c r="T276" s="11"/>
      <c r="U276" s="11"/>
      <c r="V276" s="11"/>
      <c r="X276" s="11"/>
    </row>
    <row r="277"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N277" s="11"/>
      <c r="O277" s="11"/>
      <c r="P277" s="11"/>
      <c r="Q277" s="11"/>
      <c r="S277" s="11"/>
      <c r="T277" s="11"/>
      <c r="U277" s="11"/>
      <c r="V277" s="11"/>
      <c r="X277" s="11"/>
    </row>
    <row r="278"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N278" s="11"/>
      <c r="O278" s="11"/>
      <c r="P278" s="11"/>
      <c r="Q278" s="11"/>
      <c r="S278" s="11"/>
      <c r="T278" s="11"/>
      <c r="U278" s="11"/>
      <c r="V278" s="11"/>
      <c r="X278" s="11"/>
    </row>
    <row r="279"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N279" s="11"/>
      <c r="O279" s="11"/>
      <c r="P279" s="11"/>
      <c r="Q279" s="11"/>
      <c r="S279" s="11"/>
      <c r="T279" s="11"/>
      <c r="U279" s="11"/>
      <c r="V279" s="11"/>
      <c r="X279" s="11"/>
    </row>
    <row r="280"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N280" s="11"/>
      <c r="O280" s="11"/>
      <c r="P280" s="11"/>
      <c r="Q280" s="11"/>
      <c r="S280" s="11"/>
      <c r="T280" s="11"/>
      <c r="U280" s="11"/>
      <c r="V280" s="11"/>
      <c r="X280" s="11"/>
    </row>
    <row r="281"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N281" s="11"/>
      <c r="O281" s="11"/>
      <c r="P281" s="11"/>
      <c r="Q281" s="11"/>
      <c r="S281" s="11"/>
      <c r="T281" s="11"/>
      <c r="U281" s="11"/>
      <c r="V281" s="11"/>
      <c r="X281" s="11"/>
    </row>
    <row r="282"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N282" s="11"/>
      <c r="O282" s="11"/>
      <c r="P282" s="11"/>
      <c r="Q282" s="11"/>
      <c r="S282" s="11"/>
      <c r="T282" s="11"/>
      <c r="U282" s="11"/>
      <c r="V282" s="11"/>
      <c r="X282" s="11"/>
    </row>
    <row r="283"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N283" s="11"/>
      <c r="O283" s="11"/>
      <c r="P283" s="11"/>
      <c r="Q283" s="11"/>
      <c r="S283" s="11"/>
      <c r="T283" s="11"/>
      <c r="U283" s="11"/>
      <c r="V283" s="11"/>
      <c r="X283" s="11"/>
    </row>
    <row r="284"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N284" s="11"/>
      <c r="O284" s="11"/>
      <c r="P284" s="11"/>
      <c r="Q284" s="11"/>
      <c r="S284" s="11"/>
      <c r="T284" s="11"/>
      <c r="U284" s="11"/>
      <c r="V284" s="11"/>
      <c r="X284" s="11"/>
    </row>
    <row r="285"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N285" s="11"/>
      <c r="O285" s="11"/>
      <c r="P285" s="11"/>
      <c r="Q285" s="11"/>
      <c r="S285" s="11"/>
      <c r="T285" s="11"/>
      <c r="U285" s="11"/>
      <c r="V285" s="11"/>
      <c r="X285" s="11"/>
    </row>
    <row r="286"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N286" s="11"/>
      <c r="O286" s="11"/>
      <c r="P286" s="11"/>
      <c r="Q286" s="11"/>
      <c r="S286" s="11"/>
      <c r="T286" s="11"/>
      <c r="U286" s="11"/>
      <c r="V286" s="11"/>
      <c r="X286" s="11"/>
    </row>
    <row r="287"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N287" s="11"/>
      <c r="O287" s="11"/>
      <c r="P287" s="11"/>
      <c r="Q287" s="11"/>
      <c r="S287" s="11"/>
      <c r="T287" s="11"/>
      <c r="U287" s="11"/>
      <c r="V287" s="11"/>
      <c r="X287" s="11"/>
    </row>
    <row r="288"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N288" s="11"/>
      <c r="O288" s="11"/>
      <c r="P288" s="11"/>
      <c r="Q288" s="11"/>
      <c r="S288" s="11"/>
      <c r="T288" s="11"/>
      <c r="U288" s="11"/>
      <c r="V288" s="11"/>
      <c r="X288" s="11"/>
    </row>
    <row r="289"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N289" s="11"/>
      <c r="O289" s="11"/>
      <c r="P289" s="11"/>
      <c r="Q289" s="11"/>
      <c r="S289" s="11"/>
      <c r="T289" s="11"/>
      <c r="U289" s="11"/>
      <c r="V289" s="11"/>
      <c r="X289" s="11"/>
    </row>
    <row r="290"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N290" s="11"/>
      <c r="O290" s="11"/>
      <c r="P290" s="11"/>
      <c r="Q290" s="11"/>
      <c r="S290" s="11"/>
      <c r="T290" s="11"/>
      <c r="U290" s="11"/>
      <c r="V290" s="11"/>
      <c r="X290" s="11"/>
    </row>
    <row r="291"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N291" s="11"/>
      <c r="O291" s="11"/>
      <c r="P291" s="11"/>
      <c r="Q291" s="11"/>
      <c r="S291" s="11"/>
      <c r="T291" s="11"/>
      <c r="U291" s="11"/>
      <c r="V291" s="11"/>
      <c r="X291" s="11"/>
    </row>
    <row r="292"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N292" s="11"/>
      <c r="O292" s="11"/>
      <c r="P292" s="11"/>
      <c r="Q292" s="11"/>
      <c r="S292" s="11"/>
      <c r="T292" s="11"/>
      <c r="U292" s="11"/>
      <c r="V292" s="11"/>
      <c r="X292" s="11"/>
    </row>
    <row r="293"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N293" s="11"/>
      <c r="O293" s="11"/>
      <c r="P293" s="11"/>
      <c r="Q293" s="11"/>
      <c r="S293" s="11"/>
      <c r="T293" s="11"/>
      <c r="U293" s="11"/>
      <c r="V293" s="11"/>
      <c r="X293" s="11"/>
    </row>
    <row r="294"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N294" s="11"/>
      <c r="O294" s="11"/>
      <c r="P294" s="11"/>
      <c r="Q294" s="11"/>
      <c r="S294" s="11"/>
      <c r="T294" s="11"/>
      <c r="U294" s="11"/>
      <c r="V294" s="11"/>
      <c r="X294" s="11"/>
    </row>
    <row r="295"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N295" s="11"/>
      <c r="O295" s="11"/>
      <c r="P295" s="11"/>
      <c r="Q295" s="11"/>
      <c r="S295" s="11"/>
      <c r="T295" s="11"/>
      <c r="U295" s="11"/>
      <c r="V295" s="11"/>
      <c r="X295" s="11"/>
    </row>
    <row r="296"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N296" s="11"/>
      <c r="O296" s="11"/>
      <c r="P296" s="11"/>
      <c r="Q296" s="11"/>
      <c r="S296" s="11"/>
      <c r="T296" s="11"/>
      <c r="U296" s="11"/>
      <c r="V296" s="11"/>
      <c r="X296" s="11"/>
    </row>
    <row r="297"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N297" s="11"/>
      <c r="O297" s="11"/>
      <c r="P297" s="11"/>
      <c r="Q297" s="11"/>
      <c r="S297" s="11"/>
      <c r="T297" s="11"/>
      <c r="U297" s="11"/>
      <c r="V297" s="11"/>
      <c r="X297" s="11"/>
    </row>
    <row r="298"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N298" s="11"/>
      <c r="O298" s="11"/>
      <c r="P298" s="11"/>
      <c r="Q298" s="11"/>
      <c r="S298" s="11"/>
      <c r="T298" s="11"/>
      <c r="U298" s="11"/>
      <c r="V298" s="11"/>
      <c r="X298" s="11"/>
    </row>
    <row r="299"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N299" s="11"/>
      <c r="O299" s="11"/>
      <c r="P299" s="11"/>
      <c r="Q299" s="11"/>
      <c r="S299" s="11"/>
      <c r="T299" s="11"/>
      <c r="U299" s="11"/>
      <c r="V299" s="11"/>
      <c r="X299" s="11"/>
    </row>
    <row r="300"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N300" s="11"/>
      <c r="O300" s="11"/>
      <c r="P300" s="11"/>
      <c r="Q300" s="11"/>
      <c r="S300" s="11"/>
      <c r="T300" s="11"/>
      <c r="U300" s="11"/>
      <c r="V300" s="11"/>
      <c r="X300" s="11"/>
    </row>
    <row r="301"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N301" s="11"/>
      <c r="O301" s="11"/>
      <c r="P301" s="11"/>
      <c r="Q301" s="11"/>
      <c r="S301" s="11"/>
      <c r="T301" s="11"/>
      <c r="U301" s="11"/>
      <c r="V301" s="11"/>
      <c r="X301" s="11"/>
    </row>
    <row r="302"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N302" s="11"/>
      <c r="O302" s="11"/>
      <c r="P302" s="11"/>
      <c r="Q302" s="11"/>
      <c r="S302" s="11"/>
      <c r="T302" s="11"/>
      <c r="U302" s="11"/>
      <c r="V302" s="11"/>
      <c r="X302" s="11"/>
    </row>
    <row r="303"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N303" s="11"/>
      <c r="O303" s="11"/>
      <c r="P303" s="11"/>
      <c r="Q303" s="11"/>
      <c r="S303" s="11"/>
      <c r="T303" s="11"/>
      <c r="U303" s="11"/>
      <c r="V303" s="11"/>
      <c r="X303" s="11"/>
    </row>
    <row r="304"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N304" s="11"/>
      <c r="O304" s="11"/>
      <c r="P304" s="11"/>
      <c r="Q304" s="11"/>
      <c r="S304" s="11"/>
      <c r="T304" s="11"/>
      <c r="U304" s="11"/>
      <c r="V304" s="11"/>
      <c r="X304" s="11"/>
    </row>
    <row r="305"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N305" s="11"/>
      <c r="O305" s="11"/>
      <c r="P305" s="11"/>
      <c r="Q305" s="11"/>
      <c r="S305" s="11"/>
      <c r="T305" s="11"/>
      <c r="U305" s="11"/>
      <c r="V305" s="11"/>
      <c r="X305" s="11"/>
    </row>
    <row r="306"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N306" s="11"/>
      <c r="O306" s="11"/>
      <c r="P306" s="11"/>
      <c r="Q306" s="11"/>
      <c r="S306" s="11"/>
      <c r="T306" s="11"/>
      <c r="U306" s="11"/>
      <c r="V306" s="11"/>
      <c r="X306" s="11"/>
    </row>
    <row r="307"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N307" s="11"/>
      <c r="O307" s="11"/>
      <c r="P307" s="11"/>
      <c r="Q307" s="11"/>
      <c r="S307" s="11"/>
      <c r="T307" s="11"/>
      <c r="U307" s="11"/>
      <c r="V307" s="11"/>
      <c r="X307" s="11"/>
    </row>
    <row r="308"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N308" s="11"/>
      <c r="O308" s="11"/>
      <c r="P308" s="11"/>
      <c r="Q308" s="11"/>
      <c r="S308" s="11"/>
      <c r="T308" s="11"/>
      <c r="U308" s="11"/>
      <c r="V308" s="11"/>
      <c r="X308" s="11"/>
    </row>
    <row r="309"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N309" s="11"/>
      <c r="O309" s="11"/>
      <c r="P309" s="11"/>
      <c r="Q309" s="11"/>
      <c r="S309" s="11"/>
      <c r="T309" s="11"/>
      <c r="U309" s="11"/>
      <c r="V309" s="11"/>
      <c r="X309" s="11"/>
    </row>
    <row r="310"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N310" s="11"/>
      <c r="O310" s="11"/>
      <c r="P310" s="11"/>
      <c r="Q310" s="11"/>
      <c r="S310" s="11"/>
      <c r="T310" s="11"/>
      <c r="U310" s="11"/>
      <c r="V310" s="11"/>
      <c r="X310" s="11"/>
    </row>
    <row r="311"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N311" s="11"/>
      <c r="O311" s="11"/>
      <c r="P311" s="11"/>
      <c r="Q311" s="11"/>
      <c r="S311" s="11"/>
      <c r="T311" s="11"/>
      <c r="U311" s="11"/>
      <c r="V311" s="11"/>
      <c r="X311" s="11"/>
    </row>
    <row r="312"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N312" s="11"/>
      <c r="O312" s="11"/>
      <c r="P312" s="11"/>
      <c r="Q312" s="11"/>
      <c r="S312" s="11"/>
      <c r="T312" s="11"/>
      <c r="U312" s="11"/>
      <c r="V312" s="11"/>
      <c r="X312" s="11"/>
    </row>
    <row r="313"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N313" s="11"/>
      <c r="O313" s="11"/>
      <c r="P313" s="11"/>
      <c r="Q313" s="11"/>
      <c r="S313" s="11"/>
      <c r="T313" s="11"/>
      <c r="U313" s="11"/>
      <c r="V313" s="11"/>
      <c r="X313" s="11"/>
    </row>
    <row r="314"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N314" s="11"/>
      <c r="O314" s="11"/>
      <c r="P314" s="11"/>
      <c r="Q314" s="11"/>
      <c r="S314" s="11"/>
      <c r="T314" s="11"/>
      <c r="U314" s="11"/>
      <c r="V314" s="11"/>
      <c r="X314" s="11"/>
    </row>
    <row r="315"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N315" s="11"/>
      <c r="O315" s="11"/>
      <c r="P315" s="11"/>
      <c r="Q315" s="11"/>
      <c r="S315" s="11"/>
      <c r="T315" s="11"/>
      <c r="U315" s="11"/>
      <c r="V315" s="11"/>
      <c r="X315" s="11"/>
    </row>
    <row r="316"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N316" s="11"/>
      <c r="O316" s="11"/>
      <c r="P316" s="11"/>
      <c r="Q316" s="11"/>
      <c r="S316" s="11"/>
      <c r="T316" s="11"/>
      <c r="U316" s="11"/>
      <c r="V316" s="11"/>
      <c r="X316" s="11"/>
    </row>
    <row r="317"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N317" s="11"/>
      <c r="O317" s="11"/>
      <c r="P317" s="11"/>
      <c r="Q317" s="11"/>
      <c r="S317" s="11"/>
      <c r="T317" s="11"/>
      <c r="U317" s="11"/>
      <c r="V317" s="11"/>
      <c r="X317" s="11"/>
    </row>
    <row r="318"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N318" s="11"/>
      <c r="O318" s="11"/>
      <c r="P318" s="11"/>
      <c r="Q318" s="11"/>
      <c r="S318" s="11"/>
      <c r="T318" s="11"/>
      <c r="U318" s="11"/>
      <c r="V318" s="11"/>
      <c r="X318" s="11"/>
    </row>
    <row r="319"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N319" s="11"/>
      <c r="O319" s="11"/>
      <c r="P319" s="11"/>
      <c r="Q319" s="11"/>
      <c r="S319" s="11"/>
      <c r="T319" s="11"/>
      <c r="U319" s="11"/>
      <c r="V319" s="11"/>
      <c r="X319" s="11"/>
    </row>
    <row r="320"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N320" s="11"/>
      <c r="O320" s="11"/>
      <c r="P320" s="11"/>
      <c r="Q320" s="11"/>
      <c r="S320" s="11"/>
      <c r="T320" s="11"/>
      <c r="U320" s="11"/>
      <c r="V320" s="11"/>
      <c r="X320" s="11"/>
    </row>
    <row r="321"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N321" s="11"/>
      <c r="O321" s="11"/>
      <c r="P321" s="11"/>
      <c r="Q321" s="11"/>
      <c r="S321" s="11"/>
      <c r="T321" s="11"/>
      <c r="U321" s="11"/>
      <c r="V321" s="11"/>
      <c r="X321" s="11"/>
    </row>
    <row r="322"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N322" s="11"/>
      <c r="O322" s="11"/>
      <c r="P322" s="11"/>
      <c r="Q322" s="11"/>
      <c r="S322" s="11"/>
      <c r="T322" s="11"/>
      <c r="U322" s="11"/>
      <c r="V322" s="11"/>
      <c r="X322" s="11"/>
    </row>
    <row r="323"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N323" s="11"/>
      <c r="O323" s="11"/>
      <c r="P323" s="11"/>
      <c r="Q323" s="11"/>
      <c r="S323" s="11"/>
      <c r="T323" s="11"/>
      <c r="U323" s="11"/>
      <c r="V323" s="11"/>
      <c r="X323" s="11"/>
    </row>
    <row r="324"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N324" s="11"/>
      <c r="O324" s="11"/>
      <c r="P324" s="11"/>
      <c r="Q324" s="11"/>
      <c r="S324" s="11"/>
      <c r="T324" s="11"/>
      <c r="U324" s="11"/>
      <c r="V324" s="11"/>
      <c r="X324" s="11"/>
    </row>
    <row r="325"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N325" s="11"/>
      <c r="O325" s="11"/>
      <c r="P325" s="11"/>
      <c r="Q325" s="11"/>
      <c r="S325" s="11"/>
      <c r="T325" s="11"/>
      <c r="U325" s="11"/>
      <c r="V325" s="11"/>
      <c r="X325" s="11"/>
    </row>
    <row r="326"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N326" s="11"/>
      <c r="O326" s="11"/>
      <c r="P326" s="11"/>
      <c r="Q326" s="11"/>
      <c r="S326" s="11"/>
      <c r="T326" s="11"/>
      <c r="U326" s="11"/>
      <c r="V326" s="11"/>
      <c r="X326" s="11"/>
    </row>
    <row r="327"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N327" s="11"/>
      <c r="O327" s="11"/>
      <c r="P327" s="11"/>
      <c r="Q327" s="11"/>
      <c r="S327" s="11"/>
      <c r="T327" s="11"/>
      <c r="U327" s="11"/>
      <c r="V327" s="11"/>
      <c r="X327" s="11"/>
    </row>
    <row r="328"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N328" s="11"/>
      <c r="O328" s="11"/>
      <c r="P328" s="11"/>
      <c r="Q328" s="11"/>
      <c r="S328" s="11"/>
      <c r="T328" s="11"/>
      <c r="U328" s="11"/>
      <c r="V328" s="11"/>
      <c r="X328" s="11"/>
    </row>
    <row r="329"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N329" s="11"/>
      <c r="O329" s="11"/>
      <c r="P329" s="11"/>
      <c r="Q329" s="11"/>
      <c r="S329" s="11"/>
      <c r="T329" s="11"/>
      <c r="U329" s="11"/>
      <c r="V329" s="11"/>
      <c r="X329" s="11"/>
    </row>
    <row r="330"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N330" s="11"/>
      <c r="O330" s="11"/>
      <c r="P330" s="11"/>
      <c r="Q330" s="11"/>
      <c r="S330" s="11"/>
      <c r="T330" s="11"/>
      <c r="U330" s="11"/>
      <c r="V330" s="11"/>
      <c r="X330" s="11"/>
    </row>
    <row r="331"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N331" s="11"/>
      <c r="O331" s="11"/>
      <c r="P331" s="11"/>
      <c r="Q331" s="11"/>
      <c r="S331" s="11"/>
      <c r="T331" s="11"/>
      <c r="U331" s="11"/>
      <c r="V331" s="11"/>
      <c r="X331" s="11"/>
    </row>
    <row r="332"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N332" s="11"/>
      <c r="O332" s="11"/>
      <c r="P332" s="11"/>
      <c r="Q332" s="11"/>
      <c r="S332" s="11"/>
      <c r="T332" s="11"/>
      <c r="U332" s="11"/>
      <c r="V332" s="11"/>
      <c r="X332" s="11"/>
    </row>
    <row r="333"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N333" s="11"/>
      <c r="O333" s="11"/>
      <c r="P333" s="11"/>
      <c r="Q333" s="11"/>
      <c r="S333" s="11"/>
      <c r="T333" s="11"/>
      <c r="U333" s="11"/>
      <c r="V333" s="11"/>
      <c r="X333" s="11"/>
    </row>
    <row r="334"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N334" s="11"/>
      <c r="O334" s="11"/>
      <c r="P334" s="11"/>
      <c r="Q334" s="11"/>
      <c r="S334" s="11"/>
      <c r="T334" s="11"/>
      <c r="U334" s="11"/>
      <c r="V334" s="11"/>
      <c r="X334" s="11"/>
    </row>
    <row r="335"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N335" s="11"/>
      <c r="O335" s="11"/>
      <c r="P335" s="11"/>
      <c r="Q335" s="11"/>
      <c r="S335" s="11"/>
      <c r="T335" s="11"/>
      <c r="U335" s="11"/>
      <c r="V335" s="11"/>
      <c r="X335" s="11"/>
    </row>
    <row r="336"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N336" s="11"/>
      <c r="O336" s="11"/>
      <c r="P336" s="11"/>
      <c r="Q336" s="11"/>
      <c r="S336" s="11"/>
      <c r="T336" s="11"/>
      <c r="U336" s="11"/>
      <c r="V336" s="11"/>
      <c r="X336" s="11"/>
    </row>
    <row r="337"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N337" s="11"/>
      <c r="O337" s="11"/>
      <c r="P337" s="11"/>
      <c r="Q337" s="11"/>
      <c r="S337" s="11"/>
      <c r="T337" s="11"/>
      <c r="U337" s="11"/>
      <c r="V337" s="11"/>
      <c r="X337" s="11"/>
    </row>
    <row r="338"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N338" s="11"/>
      <c r="O338" s="11"/>
      <c r="P338" s="11"/>
      <c r="Q338" s="11"/>
      <c r="S338" s="11"/>
      <c r="T338" s="11"/>
      <c r="U338" s="11"/>
      <c r="V338" s="11"/>
      <c r="X338" s="11"/>
    </row>
    <row r="339"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N339" s="11"/>
      <c r="O339" s="11"/>
      <c r="P339" s="11"/>
      <c r="Q339" s="11"/>
      <c r="S339" s="11"/>
      <c r="T339" s="11"/>
      <c r="U339" s="11"/>
      <c r="V339" s="11"/>
      <c r="X339" s="11"/>
    </row>
    <row r="340"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N340" s="11"/>
      <c r="O340" s="11"/>
      <c r="P340" s="11"/>
      <c r="Q340" s="11"/>
      <c r="S340" s="11"/>
      <c r="T340" s="11"/>
      <c r="U340" s="11"/>
      <c r="V340" s="11"/>
      <c r="X340" s="11"/>
    </row>
    <row r="341"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N341" s="11"/>
      <c r="O341" s="11"/>
      <c r="P341" s="11"/>
      <c r="Q341" s="11"/>
      <c r="S341" s="11"/>
      <c r="T341" s="11"/>
      <c r="U341" s="11"/>
      <c r="V341" s="11"/>
      <c r="X341" s="11"/>
    </row>
    <row r="342"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N342" s="11"/>
      <c r="O342" s="11"/>
      <c r="P342" s="11"/>
      <c r="Q342" s="11"/>
      <c r="S342" s="11"/>
      <c r="T342" s="11"/>
      <c r="U342" s="11"/>
      <c r="V342" s="11"/>
      <c r="X342" s="11"/>
    </row>
    <row r="343"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N343" s="11"/>
      <c r="O343" s="11"/>
      <c r="P343" s="11"/>
      <c r="Q343" s="11"/>
      <c r="S343" s="11"/>
      <c r="T343" s="11"/>
      <c r="U343" s="11"/>
      <c r="V343" s="11"/>
      <c r="X343" s="11"/>
    </row>
    <row r="344"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N344" s="11"/>
      <c r="O344" s="11"/>
      <c r="P344" s="11"/>
      <c r="Q344" s="11"/>
      <c r="S344" s="11"/>
      <c r="T344" s="11"/>
      <c r="U344" s="11"/>
      <c r="V344" s="11"/>
      <c r="X344" s="11"/>
    </row>
    <row r="345"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N345" s="11"/>
      <c r="O345" s="11"/>
      <c r="P345" s="11"/>
      <c r="Q345" s="11"/>
      <c r="S345" s="11"/>
      <c r="T345" s="11"/>
      <c r="U345" s="11"/>
      <c r="V345" s="11"/>
      <c r="X345" s="11"/>
    </row>
    <row r="346"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N346" s="11"/>
      <c r="O346" s="11"/>
      <c r="P346" s="11"/>
      <c r="Q346" s="11"/>
      <c r="S346" s="11"/>
      <c r="T346" s="11"/>
      <c r="U346" s="11"/>
      <c r="V346" s="11"/>
      <c r="X346" s="11"/>
    </row>
    <row r="347"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N347" s="11"/>
      <c r="O347" s="11"/>
      <c r="P347" s="11"/>
      <c r="Q347" s="11"/>
      <c r="S347" s="11"/>
      <c r="T347" s="11"/>
      <c r="U347" s="11"/>
      <c r="V347" s="11"/>
      <c r="X347" s="11"/>
    </row>
    <row r="348"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N348" s="11"/>
      <c r="O348" s="11"/>
      <c r="P348" s="11"/>
      <c r="Q348" s="11"/>
      <c r="S348" s="11"/>
      <c r="T348" s="11"/>
      <c r="U348" s="11"/>
      <c r="V348" s="11"/>
      <c r="X348" s="11"/>
    </row>
    <row r="349"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N349" s="11"/>
      <c r="O349" s="11"/>
      <c r="P349" s="11"/>
      <c r="Q349" s="11"/>
      <c r="S349" s="11"/>
      <c r="T349" s="11"/>
      <c r="U349" s="11"/>
      <c r="V349" s="11"/>
      <c r="X349" s="11"/>
    </row>
    <row r="350"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N350" s="11"/>
      <c r="O350" s="11"/>
      <c r="P350" s="11"/>
      <c r="Q350" s="11"/>
      <c r="S350" s="11"/>
      <c r="T350" s="11"/>
      <c r="U350" s="11"/>
      <c r="V350" s="11"/>
      <c r="X350" s="11"/>
    </row>
    <row r="351"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N351" s="11"/>
      <c r="O351" s="11"/>
      <c r="P351" s="11"/>
      <c r="Q351" s="11"/>
      <c r="S351" s="11"/>
      <c r="T351" s="11"/>
      <c r="U351" s="11"/>
      <c r="V351" s="11"/>
      <c r="X351" s="11"/>
    </row>
    <row r="352"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N352" s="11"/>
      <c r="O352" s="11"/>
      <c r="P352" s="11"/>
      <c r="Q352" s="11"/>
      <c r="S352" s="11"/>
      <c r="T352" s="11"/>
      <c r="U352" s="11"/>
      <c r="V352" s="11"/>
      <c r="X352" s="11"/>
    </row>
    <row r="353"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N353" s="11"/>
      <c r="O353" s="11"/>
      <c r="P353" s="11"/>
      <c r="Q353" s="11"/>
      <c r="S353" s="11"/>
      <c r="T353" s="11"/>
      <c r="U353" s="11"/>
      <c r="V353" s="11"/>
      <c r="X353" s="11"/>
    </row>
    <row r="354"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N354" s="11"/>
      <c r="O354" s="11"/>
      <c r="P354" s="11"/>
      <c r="Q354" s="11"/>
      <c r="S354" s="11"/>
      <c r="T354" s="11"/>
      <c r="U354" s="11"/>
      <c r="V354" s="11"/>
      <c r="X354" s="11"/>
    </row>
    <row r="355"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N355" s="11"/>
      <c r="O355" s="11"/>
      <c r="P355" s="11"/>
      <c r="Q355" s="11"/>
      <c r="S355" s="11"/>
      <c r="T355" s="11"/>
      <c r="U355" s="11"/>
      <c r="V355" s="11"/>
      <c r="X355" s="11"/>
    </row>
    <row r="356"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N356" s="11"/>
      <c r="O356" s="11"/>
      <c r="P356" s="11"/>
      <c r="Q356" s="11"/>
      <c r="S356" s="11"/>
      <c r="T356" s="11"/>
      <c r="U356" s="11"/>
      <c r="V356" s="11"/>
      <c r="X356" s="11"/>
    </row>
    <row r="357"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N357" s="11"/>
      <c r="O357" s="11"/>
      <c r="P357" s="11"/>
      <c r="Q357" s="11"/>
      <c r="S357" s="11"/>
      <c r="T357" s="11"/>
      <c r="U357" s="11"/>
      <c r="V357" s="11"/>
      <c r="X357" s="11"/>
    </row>
    <row r="358"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N358" s="11"/>
      <c r="O358" s="11"/>
      <c r="P358" s="11"/>
      <c r="Q358" s="11"/>
      <c r="S358" s="11"/>
      <c r="T358" s="11"/>
      <c r="U358" s="11"/>
      <c r="V358" s="11"/>
      <c r="X358" s="11"/>
    </row>
    <row r="359"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N359" s="11"/>
      <c r="O359" s="11"/>
      <c r="P359" s="11"/>
      <c r="Q359" s="11"/>
      <c r="S359" s="11"/>
      <c r="T359" s="11"/>
      <c r="U359" s="11"/>
      <c r="V359" s="11"/>
      <c r="X359" s="11"/>
    </row>
    <row r="360"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N360" s="11"/>
      <c r="O360" s="11"/>
      <c r="P360" s="11"/>
      <c r="Q360" s="11"/>
      <c r="S360" s="11"/>
      <c r="T360" s="11"/>
      <c r="U360" s="11"/>
      <c r="V360" s="11"/>
      <c r="X360" s="11"/>
    </row>
    <row r="361"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N361" s="11"/>
      <c r="O361" s="11"/>
      <c r="P361" s="11"/>
      <c r="Q361" s="11"/>
      <c r="S361" s="11"/>
      <c r="T361" s="11"/>
      <c r="U361" s="11"/>
      <c r="V361" s="11"/>
      <c r="X361" s="11"/>
    </row>
    <row r="362"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N362" s="11"/>
      <c r="O362" s="11"/>
      <c r="P362" s="11"/>
      <c r="Q362" s="11"/>
      <c r="S362" s="11"/>
      <c r="T362" s="11"/>
      <c r="U362" s="11"/>
      <c r="V362" s="11"/>
      <c r="X362" s="11"/>
    </row>
    <row r="363"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N363" s="11"/>
      <c r="O363" s="11"/>
      <c r="P363" s="11"/>
      <c r="Q363" s="11"/>
      <c r="S363" s="11"/>
      <c r="T363" s="11"/>
      <c r="U363" s="11"/>
      <c r="V363" s="11"/>
      <c r="X363" s="11"/>
    </row>
    <row r="364"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N364" s="11"/>
      <c r="O364" s="11"/>
      <c r="P364" s="11"/>
      <c r="Q364" s="11"/>
      <c r="S364" s="11"/>
      <c r="T364" s="11"/>
      <c r="U364" s="11"/>
      <c r="V364" s="11"/>
      <c r="X364" s="11"/>
    </row>
    <row r="365"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N365" s="11"/>
      <c r="O365" s="11"/>
      <c r="P365" s="11"/>
      <c r="Q365" s="11"/>
      <c r="S365" s="11"/>
      <c r="T365" s="11"/>
      <c r="U365" s="11"/>
      <c r="V365" s="11"/>
      <c r="X365" s="11"/>
    </row>
    <row r="366"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N366" s="11"/>
      <c r="O366" s="11"/>
      <c r="P366" s="11"/>
      <c r="Q366" s="11"/>
      <c r="S366" s="11"/>
      <c r="T366" s="11"/>
      <c r="U366" s="11"/>
      <c r="V366" s="11"/>
      <c r="X366" s="11"/>
    </row>
    <row r="367"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N367" s="11"/>
      <c r="O367" s="11"/>
      <c r="P367" s="11"/>
      <c r="Q367" s="11"/>
      <c r="S367" s="11"/>
      <c r="T367" s="11"/>
      <c r="U367" s="11"/>
      <c r="V367" s="11"/>
      <c r="X367" s="11"/>
    </row>
    <row r="368"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N368" s="11"/>
      <c r="O368" s="11"/>
      <c r="P368" s="11"/>
      <c r="Q368" s="11"/>
      <c r="S368" s="11"/>
      <c r="T368" s="11"/>
      <c r="U368" s="11"/>
      <c r="V368" s="11"/>
      <c r="X368" s="11"/>
    </row>
    <row r="369"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N369" s="11"/>
      <c r="O369" s="11"/>
      <c r="P369" s="11"/>
      <c r="Q369" s="11"/>
      <c r="S369" s="11"/>
      <c r="T369" s="11"/>
      <c r="U369" s="11"/>
      <c r="V369" s="11"/>
      <c r="X369" s="11"/>
    </row>
    <row r="370"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N370" s="11"/>
      <c r="O370" s="11"/>
      <c r="P370" s="11"/>
      <c r="Q370" s="11"/>
      <c r="S370" s="11"/>
      <c r="T370" s="11"/>
      <c r="U370" s="11"/>
      <c r="V370" s="11"/>
      <c r="X370" s="11"/>
    </row>
    <row r="371"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N371" s="11"/>
      <c r="O371" s="11"/>
      <c r="P371" s="11"/>
      <c r="Q371" s="11"/>
      <c r="S371" s="11"/>
      <c r="T371" s="11"/>
      <c r="U371" s="11"/>
      <c r="V371" s="11"/>
      <c r="X371" s="11"/>
    </row>
    <row r="372"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N372" s="11"/>
      <c r="O372" s="11"/>
      <c r="P372" s="11"/>
      <c r="Q372" s="11"/>
      <c r="S372" s="11"/>
      <c r="T372" s="11"/>
      <c r="U372" s="11"/>
      <c r="V372" s="11"/>
      <c r="X372" s="11"/>
    </row>
    <row r="373"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N373" s="11"/>
      <c r="O373" s="11"/>
      <c r="P373" s="11"/>
      <c r="Q373" s="11"/>
      <c r="S373" s="11"/>
      <c r="T373" s="11"/>
      <c r="U373" s="11"/>
      <c r="V373" s="11"/>
      <c r="X373" s="11"/>
    </row>
    <row r="374"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N374" s="11"/>
      <c r="O374" s="11"/>
      <c r="P374" s="11"/>
      <c r="Q374" s="11"/>
      <c r="S374" s="11"/>
      <c r="T374" s="11"/>
      <c r="U374" s="11"/>
      <c r="V374" s="11"/>
      <c r="X374" s="11"/>
    </row>
    <row r="375"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N375" s="11"/>
      <c r="O375" s="11"/>
      <c r="P375" s="11"/>
      <c r="Q375" s="11"/>
      <c r="S375" s="11"/>
      <c r="T375" s="11"/>
      <c r="U375" s="11"/>
      <c r="V375" s="11"/>
      <c r="X375" s="11"/>
    </row>
    <row r="376"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N376" s="11"/>
      <c r="O376" s="11"/>
      <c r="P376" s="11"/>
      <c r="Q376" s="11"/>
      <c r="S376" s="11"/>
      <c r="T376" s="11"/>
      <c r="U376" s="11"/>
      <c r="V376" s="11"/>
      <c r="X376" s="11"/>
    </row>
    <row r="377"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N377" s="11"/>
      <c r="O377" s="11"/>
      <c r="P377" s="11"/>
      <c r="Q377" s="11"/>
      <c r="S377" s="11"/>
      <c r="T377" s="11"/>
      <c r="U377" s="11"/>
      <c r="V377" s="11"/>
      <c r="X377" s="11"/>
    </row>
    <row r="378"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N378" s="11"/>
      <c r="O378" s="11"/>
      <c r="P378" s="11"/>
      <c r="Q378" s="11"/>
      <c r="S378" s="11"/>
      <c r="T378" s="11"/>
      <c r="U378" s="11"/>
      <c r="V378" s="11"/>
      <c r="X378" s="11"/>
    </row>
    <row r="379"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N379" s="11"/>
      <c r="O379" s="11"/>
      <c r="P379" s="11"/>
      <c r="Q379" s="11"/>
      <c r="S379" s="11"/>
      <c r="T379" s="11"/>
      <c r="U379" s="11"/>
      <c r="V379" s="11"/>
      <c r="X379" s="11"/>
    </row>
    <row r="380"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N380" s="11"/>
      <c r="O380" s="11"/>
      <c r="P380" s="11"/>
      <c r="Q380" s="11"/>
      <c r="S380" s="11"/>
      <c r="T380" s="11"/>
      <c r="U380" s="11"/>
      <c r="V380" s="11"/>
      <c r="X380" s="11"/>
    </row>
    <row r="381"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N381" s="11"/>
      <c r="O381" s="11"/>
      <c r="P381" s="11"/>
      <c r="Q381" s="11"/>
      <c r="S381" s="11"/>
      <c r="T381" s="11"/>
      <c r="U381" s="11"/>
      <c r="V381" s="11"/>
      <c r="X381" s="11"/>
    </row>
    <row r="382"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N382" s="11"/>
      <c r="O382" s="11"/>
      <c r="P382" s="11"/>
      <c r="Q382" s="11"/>
      <c r="S382" s="11"/>
      <c r="T382" s="11"/>
      <c r="U382" s="11"/>
      <c r="V382" s="11"/>
      <c r="X382" s="11"/>
    </row>
    <row r="383"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N383" s="11"/>
      <c r="O383" s="11"/>
      <c r="P383" s="11"/>
      <c r="Q383" s="11"/>
      <c r="S383" s="11"/>
      <c r="T383" s="11"/>
      <c r="U383" s="11"/>
      <c r="V383" s="11"/>
      <c r="X383" s="11"/>
    </row>
    <row r="384"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N384" s="11"/>
      <c r="O384" s="11"/>
      <c r="P384" s="11"/>
      <c r="Q384" s="11"/>
      <c r="S384" s="11"/>
      <c r="T384" s="11"/>
      <c r="U384" s="11"/>
      <c r="V384" s="11"/>
      <c r="X384" s="11"/>
    </row>
    <row r="385"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N385" s="11"/>
      <c r="O385" s="11"/>
      <c r="P385" s="11"/>
      <c r="Q385" s="11"/>
      <c r="S385" s="11"/>
      <c r="T385" s="11"/>
      <c r="U385" s="11"/>
      <c r="V385" s="11"/>
      <c r="X385" s="11"/>
    </row>
    <row r="386"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N386" s="11"/>
      <c r="O386" s="11"/>
      <c r="P386" s="11"/>
      <c r="Q386" s="11"/>
      <c r="S386" s="11"/>
      <c r="T386" s="11"/>
      <c r="U386" s="11"/>
      <c r="V386" s="11"/>
      <c r="X386" s="11"/>
    </row>
    <row r="387"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N387" s="11"/>
      <c r="O387" s="11"/>
      <c r="P387" s="11"/>
      <c r="Q387" s="11"/>
      <c r="S387" s="11"/>
      <c r="T387" s="11"/>
      <c r="U387" s="11"/>
      <c r="V387" s="11"/>
      <c r="X387" s="11"/>
    </row>
    <row r="388"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N388" s="11"/>
      <c r="O388" s="11"/>
      <c r="P388" s="11"/>
      <c r="Q388" s="11"/>
      <c r="S388" s="11"/>
      <c r="T388" s="11"/>
      <c r="U388" s="11"/>
      <c r="V388" s="11"/>
      <c r="X388" s="11"/>
    </row>
    <row r="389"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N389" s="11"/>
      <c r="O389" s="11"/>
      <c r="P389" s="11"/>
      <c r="Q389" s="11"/>
      <c r="S389" s="11"/>
      <c r="T389" s="11"/>
      <c r="U389" s="11"/>
      <c r="V389" s="11"/>
      <c r="X389" s="11"/>
    </row>
    <row r="390"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N390" s="11"/>
      <c r="O390" s="11"/>
      <c r="P390" s="11"/>
      <c r="Q390" s="11"/>
      <c r="S390" s="11"/>
      <c r="T390" s="11"/>
      <c r="U390" s="11"/>
      <c r="V390" s="11"/>
      <c r="X390" s="11"/>
    </row>
    <row r="391"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N391" s="11"/>
      <c r="O391" s="11"/>
      <c r="P391" s="11"/>
      <c r="Q391" s="11"/>
      <c r="S391" s="11"/>
      <c r="T391" s="11"/>
      <c r="U391" s="11"/>
      <c r="V391" s="11"/>
      <c r="X391" s="11"/>
    </row>
    <row r="392"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N392" s="11"/>
      <c r="O392" s="11"/>
      <c r="P392" s="11"/>
      <c r="Q392" s="11"/>
      <c r="S392" s="11"/>
      <c r="T392" s="11"/>
      <c r="U392" s="11"/>
      <c r="V392" s="11"/>
      <c r="X392" s="11"/>
    </row>
    <row r="393"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N393" s="11"/>
      <c r="O393" s="11"/>
      <c r="P393" s="11"/>
      <c r="Q393" s="11"/>
      <c r="S393" s="11"/>
      <c r="T393" s="11"/>
      <c r="U393" s="11"/>
      <c r="V393" s="11"/>
      <c r="X393" s="11"/>
    </row>
    <row r="394"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N394" s="11"/>
      <c r="O394" s="11"/>
      <c r="P394" s="11"/>
      <c r="Q394" s="11"/>
      <c r="S394" s="11"/>
      <c r="T394" s="11"/>
      <c r="U394" s="11"/>
      <c r="V394" s="11"/>
      <c r="X394" s="11"/>
    </row>
    <row r="395"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N395" s="11"/>
      <c r="O395" s="11"/>
      <c r="P395" s="11"/>
      <c r="Q395" s="11"/>
      <c r="S395" s="11"/>
      <c r="T395" s="11"/>
      <c r="U395" s="11"/>
      <c r="V395" s="11"/>
      <c r="X395" s="11"/>
    </row>
    <row r="396"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N396" s="11"/>
      <c r="O396" s="11"/>
      <c r="P396" s="11"/>
      <c r="Q396" s="11"/>
      <c r="S396" s="11"/>
      <c r="T396" s="11"/>
      <c r="U396" s="11"/>
      <c r="V396" s="11"/>
      <c r="X396" s="11"/>
    </row>
    <row r="397"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N397" s="11"/>
      <c r="O397" s="11"/>
      <c r="P397" s="11"/>
      <c r="Q397" s="11"/>
      <c r="S397" s="11"/>
      <c r="T397" s="11"/>
      <c r="U397" s="11"/>
      <c r="V397" s="11"/>
      <c r="X397" s="11"/>
    </row>
    <row r="398"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N398" s="11"/>
      <c r="O398" s="11"/>
      <c r="P398" s="11"/>
      <c r="Q398" s="11"/>
      <c r="S398" s="11"/>
      <c r="T398" s="11"/>
      <c r="U398" s="11"/>
      <c r="V398" s="11"/>
      <c r="X398" s="11"/>
    </row>
    <row r="399"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N399" s="11"/>
      <c r="O399" s="11"/>
      <c r="P399" s="11"/>
      <c r="Q399" s="11"/>
      <c r="S399" s="11"/>
      <c r="T399" s="11"/>
      <c r="U399" s="11"/>
      <c r="V399" s="11"/>
      <c r="X399" s="11"/>
    </row>
    <row r="400"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N400" s="11"/>
      <c r="O400" s="11"/>
      <c r="P400" s="11"/>
      <c r="Q400" s="11"/>
      <c r="S400" s="11"/>
      <c r="T400" s="11"/>
      <c r="U400" s="11"/>
      <c r="V400" s="11"/>
      <c r="X400" s="11"/>
    </row>
    <row r="401"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N401" s="11"/>
      <c r="O401" s="11"/>
      <c r="P401" s="11"/>
      <c r="Q401" s="11"/>
      <c r="S401" s="11"/>
      <c r="T401" s="11"/>
      <c r="U401" s="11"/>
      <c r="V401" s="11"/>
      <c r="X401" s="11"/>
    </row>
    <row r="402"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N402" s="11"/>
      <c r="O402" s="11"/>
      <c r="P402" s="11"/>
      <c r="Q402" s="11"/>
      <c r="S402" s="11"/>
      <c r="T402" s="11"/>
      <c r="U402" s="11"/>
      <c r="V402" s="11"/>
      <c r="X402" s="11"/>
    </row>
    <row r="403"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N403" s="11"/>
      <c r="O403" s="11"/>
      <c r="P403" s="11"/>
      <c r="Q403" s="11"/>
      <c r="S403" s="11"/>
      <c r="T403" s="11"/>
      <c r="U403" s="11"/>
      <c r="V403" s="11"/>
      <c r="X403" s="11"/>
    </row>
    <row r="404"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N404" s="11"/>
      <c r="O404" s="11"/>
      <c r="P404" s="11"/>
      <c r="Q404" s="11"/>
      <c r="S404" s="11"/>
      <c r="T404" s="11"/>
      <c r="U404" s="11"/>
      <c r="V404" s="11"/>
      <c r="X404" s="11"/>
    </row>
    <row r="405"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N405" s="11"/>
      <c r="O405" s="11"/>
      <c r="P405" s="11"/>
      <c r="Q405" s="11"/>
      <c r="S405" s="11"/>
      <c r="T405" s="11"/>
      <c r="U405" s="11"/>
      <c r="V405" s="11"/>
      <c r="X405" s="11"/>
    </row>
    <row r="406"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N406" s="11"/>
      <c r="O406" s="11"/>
      <c r="P406" s="11"/>
      <c r="Q406" s="11"/>
      <c r="S406" s="11"/>
      <c r="T406" s="11"/>
      <c r="U406" s="11"/>
      <c r="V406" s="11"/>
      <c r="X406" s="11"/>
    </row>
    <row r="407"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N407" s="11"/>
      <c r="O407" s="11"/>
      <c r="P407" s="11"/>
      <c r="Q407" s="11"/>
      <c r="S407" s="11"/>
      <c r="T407" s="11"/>
      <c r="U407" s="11"/>
      <c r="V407" s="11"/>
      <c r="X407" s="11"/>
    </row>
    <row r="408"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N408" s="11"/>
      <c r="O408" s="11"/>
      <c r="P408" s="11"/>
      <c r="Q408" s="11"/>
      <c r="S408" s="11"/>
      <c r="T408" s="11"/>
      <c r="U408" s="11"/>
      <c r="V408" s="11"/>
      <c r="X408" s="11"/>
    </row>
    <row r="409"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N409" s="11"/>
      <c r="O409" s="11"/>
      <c r="P409" s="11"/>
      <c r="Q409" s="11"/>
      <c r="S409" s="11"/>
      <c r="T409" s="11"/>
      <c r="U409" s="11"/>
      <c r="V409" s="11"/>
      <c r="X409" s="11"/>
    </row>
    <row r="410"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N410" s="11"/>
      <c r="O410" s="11"/>
      <c r="P410" s="11"/>
      <c r="Q410" s="11"/>
      <c r="S410" s="11"/>
      <c r="T410" s="11"/>
      <c r="U410" s="11"/>
      <c r="V410" s="11"/>
      <c r="X410" s="11"/>
    </row>
    <row r="411"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N411" s="11"/>
      <c r="O411" s="11"/>
      <c r="P411" s="11"/>
      <c r="Q411" s="11"/>
      <c r="S411" s="11"/>
      <c r="T411" s="11"/>
      <c r="U411" s="11"/>
      <c r="V411" s="11"/>
      <c r="X411" s="11"/>
    </row>
    <row r="412"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N412" s="11"/>
      <c r="O412" s="11"/>
      <c r="P412" s="11"/>
      <c r="Q412" s="11"/>
      <c r="S412" s="11"/>
      <c r="T412" s="11"/>
      <c r="U412" s="11"/>
      <c r="V412" s="11"/>
      <c r="X412" s="11"/>
    </row>
    <row r="413"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N413" s="11"/>
      <c r="O413" s="11"/>
      <c r="P413" s="11"/>
      <c r="Q413" s="11"/>
      <c r="S413" s="11"/>
      <c r="T413" s="11"/>
      <c r="U413" s="11"/>
      <c r="V413" s="11"/>
      <c r="X413" s="11"/>
    </row>
    <row r="414"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N414" s="11"/>
      <c r="O414" s="11"/>
      <c r="P414" s="11"/>
      <c r="Q414" s="11"/>
      <c r="S414" s="11"/>
      <c r="T414" s="11"/>
      <c r="U414" s="11"/>
      <c r="V414" s="11"/>
      <c r="X414" s="11"/>
    </row>
    <row r="415"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N415" s="11"/>
      <c r="O415" s="11"/>
      <c r="P415" s="11"/>
      <c r="Q415" s="11"/>
      <c r="S415" s="11"/>
      <c r="T415" s="11"/>
      <c r="U415" s="11"/>
      <c r="V415" s="11"/>
      <c r="X415" s="11"/>
    </row>
    <row r="416"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N416" s="11"/>
      <c r="O416" s="11"/>
      <c r="P416" s="11"/>
      <c r="Q416" s="11"/>
      <c r="S416" s="11"/>
      <c r="T416" s="11"/>
      <c r="U416" s="11"/>
      <c r="V416" s="11"/>
      <c r="X416" s="11"/>
    </row>
    <row r="417"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N417" s="11"/>
      <c r="O417" s="11"/>
      <c r="P417" s="11"/>
      <c r="Q417" s="11"/>
      <c r="S417" s="11"/>
      <c r="T417" s="11"/>
      <c r="U417" s="11"/>
      <c r="V417" s="11"/>
      <c r="X417" s="11"/>
    </row>
    <row r="418"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N418" s="11"/>
      <c r="O418" s="11"/>
      <c r="P418" s="11"/>
      <c r="Q418" s="11"/>
      <c r="S418" s="11"/>
      <c r="T418" s="11"/>
      <c r="U418" s="11"/>
      <c r="V418" s="11"/>
      <c r="X418" s="11"/>
    </row>
    <row r="419"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N419" s="11"/>
      <c r="O419" s="11"/>
      <c r="P419" s="11"/>
      <c r="Q419" s="11"/>
      <c r="S419" s="11"/>
      <c r="T419" s="11"/>
      <c r="U419" s="11"/>
      <c r="V419" s="11"/>
      <c r="X419" s="11"/>
    </row>
    <row r="420"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N420" s="11"/>
      <c r="O420" s="11"/>
      <c r="P420" s="11"/>
      <c r="Q420" s="11"/>
      <c r="S420" s="11"/>
      <c r="T420" s="11"/>
      <c r="U420" s="11"/>
      <c r="V420" s="11"/>
      <c r="X420" s="11"/>
    </row>
    <row r="421"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N421" s="11"/>
      <c r="O421" s="11"/>
      <c r="P421" s="11"/>
      <c r="Q421" s="11"/>
      <c r="S421" s="11"/>
      <c r="T421" s="11"/>
      <c r="U421" s="11"/>
      <c r="V421" s="11"/>
      <c r="X421" s="11"/>
    </row>
    <row r="422"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N422" s="11"/>
      <c r="O422" s="11"/>
      <c r="P422" s="11"/>
      <c r="Q422" s="11"/>
      <c r="S422" s="11"/>
      <c r="T422" s="11"/>
      <c r="U422" s="11"/>
      <c r="V422" s="11"/>
      <c r="X422" s="11"/>
    </row>
    <row r="423"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N423" s="11"/>
      <c r="O423" s="11"/>
      <c r="P423" s="11"/>
      <c r="Q423" s="11"/>
      <c r="S423" s="11"/>
      <c r="T423" s="11"/>
      <c r="U423" s="11"/>
      <c r="V423" s="11"/>
      <c r="X423" s="11"/>
    </row>
    <row r="424"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N424" s="11"/>
      <c r="O424" s="11"/>
      <c r="P424" s="11"/>
      <c r="Q424" s="11"/>
      <c r="S424" s="11"/>
      <c r="T424" s="11"/>
      <c r="U424" s="11"/>
      <c r="V424" s="11"/>
      <c r="X424" s="11"/>
    </row>
    <row r="425"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N425" s="11"/>
      <c r="O425" s="11"/>
      <c r="P425" s="11"/>
      <c r="Q425" s="11"/>
      <c r="S425" s="11"/>
      <c r="T425" s="11"/>
      <c r="U425" s="11"/>
      <c r="V425" s="11"/>
      <c r="X425" s="11"/>
    </row>
    <row r="426"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N426" s="11"/>
      <c r="O426" s="11"/>
      <c r="P426" s="11"/>
      <c r="Q426" s="11"/>
      <c r="S426" s="11"/>
      <c r="T426" s="11"/>
      <c r="U426" s="11"/>
      <c r="V426" s="11"/>
      <c r="X426" s="11"/>
    </row>
    <row r="427"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N427" s="11"/>
      <c r="O427" s="11"/>
      <c r="P427" s="11"/>
      <c r="Q427" s="11"/>
      <c r="S427" s="11"/>
      <c r="T427" s="11"/>
      <c r="U427" s="11"/>
      <c r="V427" s="11"/>
      <c r="X427" s="11"/>
    </row>
    <row r="428"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N428" s="11"/>
      <c r="O428" s="11"/>
      <c r="P428" s="11"/>
      <c r="Q428" s="11"/>
      <c r="S428" s="11"/>
      <c r="T428" s="11"/>
      <c r="U428" s="11"/>
      <c r="V428" s="11"/>
      <c r="X428" s="11"/>
    </row>
    <row r="429"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N429" s="11"/>
      <c r="O429" s="11"/>
      <c r="P429" s="11"/>
      <c r="Q429" s="11"/>
      <c r="S429" s="11"/>
      <c r="T429" s="11"/>
      <c r="U429" s="11"/>
      <c r="V429" s="11"/>
      <c r="X429" s="11"/>
    </row>
    <row r="430"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N430" s="11"/>
      <c r="O430" s="11"/>
      <c r="P430" s="11"/>
      <c r="Q430" s="11"/>
      <c r="S430" s="11"/>
      <c r="T430" s="11"/>
      <c r="U430" s="11"/>
      <c r="V430" s="11"/>
      <c r="X430" s="11"/>
    </row>
    <row r="431"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N431" s="11"/>
      <c r="O431" s="11"/>
      <c r="P431" s="11"/>
      <c r="Q431" s="11"/>
      <c r="S431" s="11"/>
      <c r="T431" s="11"/>
      <c r="U431" s="11"/>
      <c r="V431" s="11"/>
      <c r="X431" s="11"/>
    </row>
    <row r="432"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N432" s="11"/>
      <c r="O432" s="11"/>
      <c r="P432" s="11"/>
      <c r="Q432" s="11"/>
      <c r="S432" s="11"/>
      <c r="T432" s="11"/>
      <c r="U432" s="11"/>
      <c r="V432" s="11"/>
      <c r="X432" s="11"/>
    </row>
    <row r="433"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N433" s="11"/>
      <c r="O433" s="11"/>
      <c r="P433" s="11"/>
      <c r="Q433" s="11"/>
      <c r="S433" s="11"/>
      <c r="T433" s="11"/>
      <c r="U433" s="11"/>
      <c r="V433" s="11"/>
      <c r="X433" s="11"/>
    </row>
    <row r="434"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N434" s="11"/>
      <c r="O434" s="11"/>
      <c r="P434" s="11"/>
      <c r="Q434" s="11"/>
      <c r="S434" s="11"/>
      <c r="T434" s="11"/>
      <c r="U434" s="11"/>
      <c r="V434" s="11"/>
      <c r="X434" s="11"/>
    </row>
    <row r="435"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N435" s="11"/>
      <c r="O435" s="11"/>
      <c r="P435" s="11"/>
      <c r="Q435" s="11"/>
      <c r="S435" s="11"/>
      <c r="T435" s="11"/>
      <c r="U435" s="11"/>
      <c r="V435" s="11"/>
      <c r="X435" s="11"/>
    </row>
    <row r="436"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N436" s="11"/>
      <c r="O436" s="11"/>
      <c r="P436" s="11"/>
      <c r="Q436" s="11"/>
      <c r="S436" s="11"/>
      <c r="T436" s="11"/>
      <c r="U436" s="11"/>
      <c r="V436" s="11"/>
      <c r="X436" s="11"/>
    </row>
    <row r="437"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N437" s="11"/>
      <c r="O437" s="11"/>
      <c r="P437" s="11"/>
      <c r="Q437" s="11"/>
      <c r="S437" s="11"/>
      <c r="T437" s="11"/>
      <c r="U437" s="11"/>
      <c r="V437" s="11"/>
      <c r="X437" s="11"/>
    </row>
    <row r="438"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N438" s="11"/>
      <c r="O438" s="11"/>
      <c r="P438" s="11"/>
      <c r="Q438" s="11"/>
      <c r="S438" s="11"/>
      <c r="T438" s="11"/>
      <c r="U438" s="11"/>
      <c r="V438" s="11"/>
      <c r="X438" s="11"/>
    </row>
    <row r="439"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N439" s="11"/>
      <c r="O439" s="11"/>
      <c r="P439" s="11"/>
      <c r="Q439" s="11"/>
      <c r="S439" s="11"/>
      <c r="T439" s="11"/>
      <c r="U439" s="11"/>
      <c r="V439" s="11"/>
      <c r="X439" s="11"/>
    </row>
    <row r="440"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N440" s="11"/>
      <c r="O440" s="11"/>
      <c r="P440" s="11"/>
      <c r="Q440" s="11"/>
      <c r="S440" s="11"/>
      <c r="T440" s="11"/>
      <c r="U440" s="11"/>
      <c r="V440" s="11"/>
      <c r="X440" s="11"/>
    </row>
    <row r="441"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N441" s="11"/>
      <c r="O441" s="11"/>
      <c r="P441" s="11"/>
      <c r="Q441" s="11"/>
      <c r="S441" s="11"/>
      <c r="T441" s="11"/>
      <c r="U441" s="11"/>
      <c r="V441" s="11"/>
      <c r="X441" s="11"/>
    </row>
    <row r="442"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N442" s="11"/>
      <c r="O442" s="11"/>
      <c r="P442" s="11"/>
      <c r="Q442" s="11"/>
      <c r="S442" s="11"/>
      <c r="T442" s="11"/>
      <c r="U442" s="11"/>
      <c r="V442" s="11"/>
      <c r="X442" s="11"/>
    </row>
    <row r="443"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N443" s="11"/>
      <c r="O443" s="11"/>
      <c r="P443" s="11"/>
      <c r="Q443" s="11"/>
      <c r="S443" s="11"/>
      <c r="T443" s="11"/>
      <c r="U443" s="11"/>
      <c r="V443" s="11"/>
      <c r="X443" s="11"/>
    </row>
    <row r="444"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N444" s="11"/>
      <c r="O444" s="11"/>
      <c r="P444" s="11"/>
      <c r="Q444" s="11"/>
      <c r="S444" s="11"/>
      <c r="T444" s="11"/>
      <c r="U444" s="11"/>
      <c r="V444" s="11"/>
      <c r="X444" s="11"/>
    </row>
    <row r="445"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N445" s="11"/>
      <c r="O445" s="11"/>
      <c r="P445" s="11"/>
      <c r="Q445" s="11"/>
      <c r="S445" s="11"/>
      <c r="T445" s="11"/>
      <c r="U445" s="11"/>
      <c r="V445" s="11"/>
      <c r="X445" s="11"/>
    </row>
    <row r="446"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N446" s="11"/>
      <c r="O446" s="11"/>
      <c r="P446" s="11"/>
      <c r="Q446" s="11"/>
      <c r="S446" s="11"/>
      <c r="T446" s="11"/>
      <c r="U446" s="11"/>
      <c r="V446" s="11"/>
      <c r="X446" s="11"/>
    </row>
    <row r="447"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N447" s="11"/>
      <c r="O447" s="11"/>
      <c r="P447" s="11"/>
      <c r="Q447" s="11"/>
      <c r="S447" s="11"/>
      <c r="T447" s="11"/>
      <c r="U447" s="11"/>
      <c r="V447" s="11"/>
      <c r="X447" s="11"/>
    </row>
    <row r="448"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N448" s="11"/>
      <c r="O448" s="11"/>
      <c r="P448" s="11"/>
      <c r="Q448" s="11"/>
      <c r="S448" s="11"/>
      <c r="T448" s="11"/>
      <c r="U448" s="11"/>
      <c r="V448" s="11"/>
      <c r="X448" s="11"/>
    </row>
    <row r="449"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N449" s="11"/>
      <c r="O449" s="11"/>
      <c r="P449" s="11"/>
      <c r="Q449" s="11"/>
      <c r="S449" s="11"/>
      <c r="T449" s="11"/>
      <c r="U449" s="11"/>
      <c r="V449" s="11"/>
      <c r="X449" s="11"/>
    </row>
    <row r="450"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N450" s="11"/>
      <c r="O450" s="11"/>
      <c r="P450" s="11"/>
      <c r="Q450" s="11"/>
      <c r="S450" s="11"/>
      <c r="T450" s="11"/>
      <c r="U450" s="11"/>
      <c r="V450" s="11"/>
      <c r="X450" s="11"/>
    </row>
    <row r="451"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N451" s="11"/>
      <c r="O451" s="11"/>
      <c r="P451" s="11"/>
      <c r="Q451" s="11"/>
      <c r="S451" s="11"/>
      <c r="T451" s="11"/>
      <c r="U451" s="11"/>
      <c r="V451" s="11"/>
      <c r="X451" s="11"/>
    </row>
    <row r="452"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N452" s="11"/>
      <c r="O452" s="11"/>
      <c r="P452" s="11"/>
      <c r="Q452" s="11"/>
      <c r="S452" s="11"/>
      <c r="T452" s="11"/>
      <c r="U452" s="11"/>
      <c r="V452" s="11"/>
      <c r="X452" s="11"/>
    </row>
    <row r="453"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N453" s="11"/>
      <c r="O453" s="11"/>
      <c r="P453" s="11"/>
      <c r="Q453" s="11"/>
      <c r="S453" s="11"/>
      <c r="T453" s="11"/>
      <c r="U453" s="11"/>
      <c r="V453" s="11"/>
      <c r="X453" s="11"/>
    </row>
    <row r="454"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N454" s="11"/>
      <c r="O454" s="11"/>
      <c r="P454" s="11"/>
      <c r="Q454" s="11"/>
      <c r="S454" s="11"/>
      <c r="T454" s="11"/>
      <c r="U454" s="11"/>
      <c r="V454" s="11"/>
      <c r="X454" s="11"/>
    </row>
    <row r="455"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N455" s="11"/>
      <c r="O455" s="11"/>
      <c r="P455" s="11"/>
      <c r="Q455" s="11"/>
      <c r="S455" s="11"/>
      <c r="T455" s="11"/>
      <c r="U455" s="11"/>
      <c r="V455" s="11"/>
      <c r="X455" s="11"/>
    </row>
    <row r="456"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N456" s="11"/>
      <c r="O456" s="11"/>
      <c r="P456" s="11"/>
      <c r="Q456" s="11"/>
      <c r="S456" s="11"/>
      <c r="T456" s="11"/>
      <c r="U456" s="11"/>
      <c r="V456" s="11"/>
      <c r="X456" s="11"/>
    </row>
    <row r="457"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N457" s="11"/>
      <c r="O457" s="11"/>
      <c r="P457" s="11"/>
      <c r="Q457" s="11"/>
      <c r="S457" s="11"/>
      <c r="T457" s="11"/>
      <c r="U457" s="11"/>
      <c r="V457" s="11"/>
      <c r="X457" s="11"/>
    </row>
    <row r="458"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N458" s="11"/>
      <c r="O458" s="11"/>
      <c r="P458" s="11"/>
      <c r="Q458" s="11"/>
      <c r="S458" s="11"/>
      <c r="T458" s="11"/>
      <c r="U458" s="11"/>
      <c r="V458" s="11"/>
      <c r="X458" s="11"/>
    </row>
    <row r="459"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N459" s="11"/>
      <c r="O459" s="11"/>
      <c r="P459" s="11"/>
      <c r="Q459" s="11"/>
      <c r="S459" s="11"/>
      <c r="T459" s="11"/>
      <c r="U459" s="11"/>
      <c r="V459" s="11"/>
      <c r="X459" s="11"/>
    </row>
    <row r="460"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N460" s="11"/>
      <c r="O460" s="11"/>
      <c r="P460" s="11"/>
      <c r="Q460" s="11"/>
      <c r="S460" s="11"/>
      <c r="T460" s="11"/>
      <c r="U460" s="11"/>
      <c r="V460" s="11"/>
      <c r="X460" s="11"/>
    </row>
    <row r="461"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N461" s="11"/>
      <c r="O461" s="11"/>
      <c r="P461" s="11"/>
      <c r="Q461" s="11"/>
      <c r="S461" s="11"/>
      <c r="T461" s="11"/>
      <c r="U461" s="11"/>
      <c r="V461" s="11"/>
      <c r="X461" s="11"/>
    </row>
    <row r="462"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N462" s="11"/>
      <c r="O462" s="11"/>
      <c r="P462" s="11"/>
      <c r="Q462" s="11"/>
      <c r="S462" s="11"/>
      <c r="T462" s="11"/>
      <c r="U462" s="11"/>
      <c r="V462" s="11"/>
      <c r="X462" s="11"/>
    </row>
    <row r="463"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N463" s="11"/>
      <c r="O463" s="11"/>
      <c r="P463" s="11"/>
      <c r="Q463" s="11"/>
      <c r="S463" s="11"/>
      <c r="T463" s="11"/>
      <c r="U463" s="11"/>
      <c r="V463" s="11"/>
      <c r="X463" s="11"/>
    </row>
    <row r="464"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N464" s="11"/>
      <c r="O464" s="11"/>
      <c r="P464" s="11"/>
      <c r="Q464" s="11"/>
      <c r="S464" s="11"/>
      <c r="T464" s="11"/>
      <c r="U464" s="11"/>
      <c r="V464" s="11"/>
      <c r="X464" s="11"/>
    </row>
    <row r="465"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N465" s="11"/>
      <c r="O465" s="11"/>
      <c r="P465" s="11"/>
      <c r="Q465" s="11"/>
      <c r="S465" s="11"/>
      <c r="T465" s="11"/>
      <c r="U465" s="11"/>
      <c r="V465" s="11"/>
      <c r="X465" s="11"/>
    </row>
    <row r="466"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N466" s="11"/>
      <c r="O466" s="11"/>
      <c r="P466" s="11"/>
      <c r="Q466" s="11"/>
      <c r="S466" s="11"/>
      <c r="T466" s="11"/>
      <c r="U466" s="11"/>
      <c r="V466" s="11"/>
      <c r="X466" s="11"/>
    </row>
    <row r="467"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N467" s="11"/>
      <c r="O467" s="11"/>
      <c r="P467" s="11"/>
      <c r="Q467" s="11"/>
      <c r="S467" s="11"/>
      <c r="T467" s="11"/>
      <c r="U467" s="11"/>
      <c r="V467" s="11"/>
      <c r="X467" s="11"/>
    </row>
    <row r="468"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N468" s="11"/>
      <c r="O468" s="11"/>
      <c r="P468" s="11"/>
      <c r="Q468" s="11"/>
      <c r="S468" s="11"/>
      <c r="T468" s="11"/>
      <c r="U468" s="11"/>
      <c r="V468" s="11"/>
      <c r="X468" s="11"/>
    </row>
    <row r="469"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N469" s="11"/>
      <c r="O469" s="11"/>
      <c r="P469" s="11"/>
      <c r="Q469" s="11"/>
      <c r="S469" s="11"/>
      <c r="T469" s="11"/>
      <c r="U469" s="11"/>
      <c r="V469" s="11"/>
      <c r="X469" s="11"/>
    </row>
    <row r="470"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N470" s="11"/>
      <c r="O470" s="11"/>
      <c r="P470" s="11"/>
      <c r="Q470" s="11"/>
      <c r="S470" s="11"/>
      <c r="T470" s="11"/>
      <c r="U470" s="11"/>
      <c r="V470" s="11"/>
      <c r="X470" s="11"/>
    </row>
    <row r="471"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N471" s="11"/>
      <c r="O471" s="11"/>
      <c r="P471" s="11"/>
      <c r="Q471" s="11"/>
      <c r="S471" s="11"/>
      <c r="T471" s="11"/>
      <c r="U471" s="11"/>
      <c r="V471" s="11"/>
      <c r="X471" s="11"/>
    </row>
    <row r="472"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N472" s="11"/>
      <c r="O472" s="11"/>
      <c r="P472" s="11"/>
      <c r="Q472" s="11"/>
      <c r="S472" s="11"/>
      <c r="T472" s="11"/>
      <c r="U472" s="11"/>
      <c r="V472" s="11"/>
      <c r="X472" s="11"/>
    </row>
    <row r="473"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N473" s="11"/>
      <c r="O473" s="11"/>
      <c r="P473" s="11"/>
      <c r="Q473" s="11"/>
      <c r="S473" s="11"/>
      <c r="T473" s="11"/>
      <c r="U473" s="11"/>
      <c r="V473" s="11"/>
      <c r="X473" s="11"/>
    </row>
    <row r="474"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N474" s="11"/>
      <c r="O474" s="11"/>
      <c r="P474" s="11"/>
      <c r="Q474" s="11"/>
      <c r="S474" s="11"/>
      <c r="T474" s="11"/>
      <c r="U474" s="11"/>
      <c r="V474" s="11"/>
      <c r="X474" s="11"/>
    </row>
    <row r="475"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N475" s="11"/>
      <c r="O475" s="11"/>
      <c r="P475" s="11"/>
      <c r="Q475" s="11"/>
      <c r="S475" s="11"/>
      <c r="T475" s="11"/>
      <c r="U475" s="11"/>
      <c r="V475" s="11"/>
      <c r="X475" s="11"/>
    </row>
    <row r="476"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N476" s="11"/>
      <c r="O476" s="11"/>
      <c r="P476" s="11"/>
      <c r="Q476" s="11"/>
      <c r="S476" s="11"/>
      <c r="T476" s="11"/>
      <c r="U476" s="11"/>
      <c r="V476" s="11"/>
      <c r="X476" s="11"/>
    </row>
    <row r="477"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N477" s="11"/>
      <c r="O477" s="11"/>
      <c r="P477" s="11"/>
      <c r="Q477" s="11"/>
      <c r="S477" s="11"/>
      <c r="T477" s="11"/>
      <c r="U477" s="11"/>
      <c r="V477" s="11"/>
      <c r="X477" s="11"/>
    </row>
    <row r="478"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N478" s="11"/>
      <c r="O478" s="11"/>
      <c r="P478" s="11"/>
      <c r="Q478" s="11"/>
      <c r="S478" s="11"/>
      <c r="T478" s="11"/>
      <c r="U478" s="11"/>
      <c r="V478" s="11"/>
      <c r="X478" s="11"/>
    </row>
    <row r="479"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N479" s="11"/>
      <c r="O479" s="11"/>
      <c r="P479" s="11"/>
      <c r="Q479" s="11"/>
      <c r="S479" s="11"/>
      <c r="T479" s="11"/>
      <c r="U479" s="11"/>
      <c r="V479" s="11"/>
      <c r="X479" s="11"/>
    </row>
    <row r="480"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N480" s="11"/>
      <c r="O480" s="11"/>
      <c r="P480" s="11"/>
      <c r="Q480" s="11"/>
      <c r="S480" s="11"/>
      <c r="T480" s="11"/>
      <c r="U480" s="11"/>
      <c r="V480" s="11"/>
      <c r="X480" s="11"/>
    </row>
    <row r="481"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N481" s="11"/>
      <c r="O481" s="11"/>
      <c r="P481" s="11"/>
      <c r="Q481" s="11"/>
      <c r="S481" s="11"/>
      <c r="T481" s="11"/>
      <c r="U481" s="11"/>
      <c r="V481" s="11"/>
      <c r="X481" s="11"/>
    </row>
    <row r="482"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N482" s="11"/>
      <c r="O482" s="11"/>
      <c r="P482" s="11"/>
      <c r="Q482" s="11"/>
      <c r="S482" s="11"/>
      <c r="T482" s="11"/>
      <c r="U482" s="11"/>
      <c r="V482" s="11"/>
      <c r="X482" s="11"/>
    </row>
    <row r="483"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N483" s="11"/>
      <c r="O483" s="11"/>
      <c r="P483" s="11"/>
      <c r="Q483" s="11"/>
      <c r="S483" s="11"/>
      <c r="T483" s="11"/>
      <c r="U483" s="11"/>
      <c r="V483" s="11"/>
      <c r="X483" s="11"/>
    </row>
    <row r="484"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N484" s="11"/>
      <c r="O484" s="11"/>
      <c r="P484" s="11"/>
      <c r="Q484" s="11"/>
      <c r="S484" s="11"/>
      <c r="T484" s="11"/>
      <c r="U484" s="11"/>
      <c r="V484" s="11"/>
      <c r="X484" s="11"/>
    </row>
    <row r="485"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N485" s="11"/>
      <c r="O485" s="11"/>
      <c r="P485" s="11"/>
      <c r="Q485" s="11"/>
      <c r="S485" s="11"/>
      <c r="T485" s="11"/>
      <c r="U485" s="11"/>
      <c r="V485" s="11"/>
      <c r="X485" s="11"/>
    </row>
    <row r="486"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N486" s="11"/>
      <c r="O486" s="11"/>
      <c r="P486" s="11"/>
      <c r="Q486" s="11"/>
      <c r="S486" s="11"/>
      <c r="T486" s="11"/>
      <c r="U486" s="11"/>
      <c r="V486" s="11"/>
      <c r="X486" s="11"/>
    </row>
    <row r="487"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N487" s="11"/>
      <c r="O487" s="11"/>
      <c r="P487" s="11"/>
      <c r="Q487" s="11"/>
      <c r="S487" s="11"/>
      <c r="T487" s="11"/>
      <c r="U487" s="11"/>
      <c r="V487" s="11"/>
      <c r="X487" s="11"/>
    </row>
    <row r="488"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N488" s="11"/>
      <c r="O488" s="11"/>
      <c r="P488" s="11"/>
      <c r="Q488" s="11"/>
      <c r="S488" s="11"/>
      <c r="T488" s="11"/>
      <c r="U488" s="11"/>
      <c r="V488" s="11"/>
      <c r="X488" s="11"/>
    </row>
    <row r="489"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N489" s="11"/>
      <c r="O489" s="11"/>
      <c r="P489" s="11"/>
      <c r="Q489" s="11"/>
      <c r="S489" s="11"/>
      <c r="T489" s="11"/>
      <c r="U489" s="11"/>
      <c r="V489" s="11"/>
      <c r="X489" s="11"/>
    </row>
    <row r="490"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N490" s="11"/>
      <c r="O490" s="11"/>
      <c r="P490" s="11"/>
      <c r="Q490" s="11"/>
      <c r="S490" s="11"/>
      <c r="T490" s="11"/>
      <c r="U490" s="11"/>
      <c r="V490" s="11"/>
      <c r="X490" s="11"/>
    </row>
    <row r="491"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N491" s="11"/>
      <c r="O491" s="11"/>
      <c r="P491" s="11"/>
      <c r="Q491" s="11"/>
      <c r="S491" s="11"/>
      <c r="T491" s="11"/>
      <c r="U491" s="11"/>
      <c r="V491" s="11"/>
      <c r="X491" s="11"/>
    </row>
    <row r="492"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N492" s="11"/>
      <c r="O492" s="11"/>
      <c r="P492" s="11"/>
      <c r="Q492" s="11"/>
      <c r="S492" s="11"/>
      <c r="T492" s="11"/>
      <c r="U492" s="11"/>
      <c r="V492" s="11"/>
      <c r="X492" s="11"/>
    </row>
    <row r="493"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N493" s="11"/>
      <c r="O493" s="11"/>
      <c r="P493" s="11"/>
      <c r="Q493" s="11"/>
      <c r="S493" s="11"/>
      <c r="T493" s="11"/>
      <c r="U493" s="11"/>
      <c r="V493" s="11"/>
      <c r="X493" s="11"/>
    </row>
    <row r="494"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N494" s="11"/>
      <c r="O494" s="11"/>
      <c r="P494" s="11"/>
      <c r="Q494" s="11"/>
      <c r="S494" s="11"/>
      <c r="T494" s="11"/>
      <c r="U494" s="11"/>
      <c r="V494" s="11"/>
      <c r="X494" s="11"/>
    </row>
    <row r="495"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N495" s="11"/>
      <c r="O495" s="11"/>
      <c r="P495" s="11"/>
      <c r="Q495" s="11"/>
      <c r="S495" s="11"/>
      <c r="T495" s="11"/>
      <c r="U495" s="11"/>
      <c r="V495" s="11"/>
      <c r="X495" s="11"/>
    </row>
    <row r="496"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N496" s="11"/>
      <c r="O496" s="11"/>
      <c r="P496" s="11"/>
      <c r="Q496" s="11"/>
      <c r="S496" s="11"/>
      <c r="T496" s="11"/>
      <c r="U496" s="11"/>
      <c r="V496" s="11"/>
      <c r="X496" s="11"/>
    </row>
    <row r="497"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N497" s="11"/>
      <c r="O497" s="11"/>
      <c r="P497" s="11"/>
      <c r="Q497" s="11"/>
      <c r="S497" s="11"/>
      <c r="T497" s="11"/>
      <c r="U497" s="11"/>
      <c r="V497" s="11"/>
      <c r="X497" s="11"/>
    </row>
    <row r="498"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N498" s="11"/>
      <c r="O498" s="11"/>
      <c r="P498" s="11"/>
      <c r="Q498" s="11"/>
      <c r="S498" s="11"/>
      <c r="T498" s="11"/>
      <c r="U498" s="11"/>
      <c r="V498" s="11"/>
      <c r="X498" s="11"/>
    </row>
    <row r="499"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N499" s="11"/>
      <c r="O499" s="11"/>
      <c r="P499" s="11"/>
      <c r="Q499" s="11"/>
      <c r="S499" s="11"/>
      <c r="T499" s="11"/>
      <c r="U499" s="11"/>
      <c r="V499" s="11"/>
      <c r="X499" s="11"/>
    </row>
    <row r="500"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N500" s="11"/>
      <c r="O500" s="11"/>
      <c r="P500" s="11"/>
      <c r="Q500" s="11"/>
      <c r="S500" s="11"/>
      <c r="T500" s="11"/>
      <c r="U500" s="11"/>
      <c r="V500" s="11"/>
      <c r="X500" s="11"/>
    </row>
    <row r="501"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N501" s="11"/>
      <c r="O501" s="11"/>
      <c r="P501" s="11"/>
      <c r="Q501" s="11"/>
      <c r="S501" s="11"/>
      <c r="T501" s="11"/>
      <c r="U501" s="11"/>
      <c r="V501" s="11"/>
      <c r="X501" s="11"/>
    </row>
    <row r="502"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N502" s="11"/>
      <c r="O502" s="11"/>
      <c r="P502" s="11"/>
      <c r="Q502" s="11"/>
      <c r="S502" s="11"/>
      <c r="T502" s="11"/>
      <c r="U502" s="11"/>
      <c r="V502" s="11"/>
      <c r="X502" s="11"/>
    </row>
    <row r="503"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N503" s="11"/>
      <c r="O503" s="11"/>
      <c r="P503" s="11"/>
      <c r="Q503" s="11"/>
      <c r="S503" s="11"/>
      <c r="T503" s="11"/>
      <c r="U503" s="11"/>
      <c r="V503" s="11"/>
      <c r="X503" s="11"/>
    </row>
    <row r="504"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N504" s="11"/>
      <c r="O504" s="11"/>
      <c r="P504" s="11"/>
      <c r="Q504" s="11"/>
      <c r="S504" s="11"/>
      <c r="T504" s="11"/>
      <c r="U504" s="11"/>
      <c r="V504" s="11"/>
      <c r="X504" s="11"/>
    </row>
    <row r="505"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N505" s="11"/>
      <c r="O505" s="11"/>
      <c r="P505" s="11"/>
      <c r="Q505" s="11"/>
      <c r="S505" s="11"/>
      <c r="T505" s="11"/>
      <c r="U505" s="11"/>
      <c r="V505" s="11"/>
      <c r="X505" s="11"/>
    </row>
    <row r="506"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N506" s="11"/>
      <c r="O506" s="11"/>
      <c r="P506" s="11"/>
      <c r="Q506" s="11"/>
      <c r="S506" s="11"/>
      <c r="T506" s="11"/>
      <c r="U506" s="11"/>
      <c r="V506" s="11"/>
      <c r="X506" s="11"/>
    </row>
    <row r="507"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N507" s="11"/>
      <c r="O507" s="11"/>
      <c r="P507" s="11"/>
      <c r="Q507" s="11"/>
      <c r="S507" s="11"/>
      <c r="T507" s="11"/>
      <c r="U507" s="11"/>
      <c r="V507" s="11"/>
      <c r="X507" s="11"/>
    </row>
    <row r="508"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N508" s="11"/>
      <c r="O508" s="11"/>
      <c r="P508" s="11"/>
      <c r="Q508" s="11"/>
      <c r="S508" s="11"/>
      <c r="T508" s="11"/>
      <c r="U508" s="11"/>
      <c r="V508" s="11"/>
      <c r="X508" s="11"/>
    </row>
    <row r="509"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N509" s="11"/>
      <c r="O509" s="11"/>
      <c r="P509" s="11"/>
      <c r="Q509" s="11"/>
      <c r="S509" s="11"/>
      <c r="T509" s="11"/>
      <c r="U509" s="11"/>
      <c r="V509" s="11"/>
      <c r="X509" s="11"/>
    </row>
    <row r="510"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N510" s="11"/>
      <c r="O510" s="11"/>
      <c r="P510" s="11"/>
      <c r="Q510" s="11"/>
      <c r="S510" s="11"/>
      <c r="T510" s="11"/>
      <c r="U510" s="11"/>
      <c r="V510" s="11"/>
      <c r="X510" s="11"/>
    </row>
    <row r="511"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N511" s="11"/>
      <c r="O511" s="11"/>
      <c r="P511" s="11"/>
      <c r="Q511" s="11"/>
      <c r="S511" s="11"/>
      <c r="T511" s="11"/>
      <c r="U511" s="11"/>
      <c r="V511" s="11"/>
      <c r="X511" s="11"/>
    </row>
    <row r="512"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N512" s="11"/>
      <c r="O512" s="11"/>
      <c r="P512" s="11"/>
      <c r="Q512" s="11"/>
      <c r="S512" s="11"/>
      <c r="T512" s="11"/>
      <c r="U512" s="11"/>
      <c r="V512" s="11"/>
      <c r="X512" s="11"/>
    </row>
    <row r="513"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N513" s="11"/>
      <c r="O513" s="11"/>
      <c r="P513" s="11"/>
      <c r="Q513" s="11"/>
      <c r="S513" s="11"/>
      <c r="T513" s="11"/>
      <c r="U513" s="11"/>
      <c r="V513" s="11"/>
      <c r="X513" s="11"/>
    </row>
    <row r="514"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N514" s="11"/>
      <c r="O514" s="11"/>
      <c r="P514" s="11"/>
      <c r="Q514" s="11"/>
      <c r="S514" s="11"/>
      <c r="T514" s="11"/>
      <c r="U514" s="11"/>
      <c r="V514" s="11"/>
      <c r="X514" s="11"/>
    </row>
    <row r="515"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N515" s="11"/>
      <c r="O515" s="11"/>
      <c r="P515" s="11"/>
      <c r="Q515" s="11"/>
      <c r="S515" s="11"/>
      <c r="T515" s="11"/>
      <c r="U515" s="11"/>
      <c r="V515" s="11"/>
      <c r="X515" s="11"/>
    </row>
    <row r="516"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N516" s="11"/>
      <c r="O516" s="11"/>
      <c r="P516" s="11"/>
      <c r="Q516" s="11"/>
      <c r="S516" s="11"/>
      <c r="T516" s="11"/>
      <c r="U516" s="11"/>
      <c r="V516" s="11"/>
      <c r="X516" s="11"/>
    </row>
    <row r="517"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N517" s="11"/>
      <c r="O517" s="11"/>
      <c r="P517" s="11"/>
      <c r="Q517" s="11"/>
      <c r="S517" s="11"/>
      <c r="T517" s="11"/>
      <c r="U517" s="11"/>
      <c r="V517" s="11"/>
      <c r="X517" s="11"/>
    </row>
    <row r="518"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N518" s="11"/>
      <c r="O518" s="11"/>
      <c r="P518" s="11"/>
      <c r="Q518" s="11"/>
      <c r="S518" s="11"/>
      <c r="T518" s="11"/>
      <c r="U518" s="11"/>
      <c r="V518" s="11"/>
      <c r="X518" s="11"/>
    </row>
    <row r="519"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N519" s="11"/>
      <c r="O519" s="11"/>
      <c r="P519" s="11"/>
      <c r="Q519" s="11"/>
      <c r="S519" s="11"/>
      <c r="T519" s="11"/>
      <c r="U519" s="11"/>
      <c r="V519" s="11"/>
      <c r="X519" s="11"/>
    </row>
    <row r="520"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N520" s="11"/>
      <c r="O520" s="11"/>
      <c r="P520" s="11"/>
      <c r="Q520" s="11"/>
      <c r="S520" s="11"/>
      <c r="T520" s="11"/>
      <c r="U520" s="11"/>
      <c r="V520" s="11"/>
      <c r="X520" s="11"/>
    </row>
    <row r="521"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N521" s="11"/>
      <c r="O521" s="11"/>
      <c r="P521" s="11"/>
      <c r="Q521" s="11"/>
      <c r="S521" s="11"/>
      <c r="T521" s="11"/>
      <c r="U521" s="11"/>
      <c r="V521" s="11"/>
      <c r="X521" s="11"/>
    </row>
    <row r="522"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N522" s="11"/>
      <c r="O522" s="11"/>
      <c r="P522" s="11"/>
      <c r="Q522" s="11"/>
      <c r="S522" s="11"/>
      <c r="T522" s="11"/>
      <c r="U522" s="11"/>
      <c r="V522" s="11"/>
      <c r="X522" s="11"/>
    </row>
    <row r="523"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N523" s="11"/>
      <c r="O523" s="11"/>
      <c r="P523" s="11"/>
      <c r="Q523" s="11"/>
      <c r="S523" s="11"/>
      <c r="T523" s="11"/>
      <c r="U523" s="11"/>
      <c r="V523" s="11"/>
      <c r="X523" s="11"/>
    </row>
    <row r="524"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N524" s="11"/>
      <c r="O524" s="11"/>
      <c r="P524" s="11"/>
      <c r="Q524" s="11"/>
      <c r="S524" s="11"/>
      <c r="T524" s="11"/>
      <c r="U524" s="11"/>
      <c r="V524" s="11"/>
      <c r="X524" s="11"/>
    </row>
    <row r="525"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N525" s="11"/>
      <c r="O525" s="11"/>
      <c r="P525" s="11"/>
      <c r="Q525" s="11"/>
      <c r="S525" s="11"/>
      <c r="T525" s="11"/>
      <c r="U525" s="11"/>
      <c r="V525" s="11"/>
      <c r="X525" s="11"/>
    </row>
    <row r="526"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N526" s="11"/>
      <c r="O526" s="11"/>
      <c r="P526" s="11"/>
      <c r="Q526" s="11"/>
      <c r="S526" s="11"/>
      <c r="T526" s="11"/>
      <c r="U526" s="11"/>
      <c r="V526" s="11"/>
      <c r="X526" s="11"/>
    </row>
    <row r="527"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N527" s="11"/>
      <c r="O527" s="11"/>
      <c r="P527" s="11"/>
      <c r="Q527" s="11"/>
      <c r="S527" s="11"/>
      <c r="T527" s="11"/>
      <c r="U527" s="11"/>
      <c r="V527" s="11"/>
      <c r="X527" s="11"/>
    </row>
    <row r="528"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N528" s="11"/>
      <c r="O528" s="11"/>
      <c r="P528" s="11"/>
      <c r="Q528" s="11"/>
      <c r="S528" s="11"/>
      <c r="T528" s="11"/>
      <c r="U528" s="11"/>
      <c r="V528" s="11"/>
      <c r="X528" s="11"/>
    </row>
    <row r="529"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N529" s="11"/>
      <c r="O529" s="11"/>
      <c r="P529" s="11"/>
      <c r="Q529" s="11"/>
      <c r="S529" s="11"/>
      <c r="T529" s="11"/>
      <c r="U529" s="11"/>
      <c r="V529" s="11"/>
      <c r="X529" s="11"/>
    </row>
    <row r="530"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N530" s="11"/>
      <c r="O530" s="11"/>
      <c r="P530" s="11"/>
      <c r="Q530" s="11"/>
      <c r="S530" s="11"/>
      <c r="T530" s="11"/>
      <c r="U530" s="11"/>
      <c r="V530" s="11"/>
      <c r="X530" s="11"/>
    </row>
    <row r="531"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N531" s="11"/>
      <c r="O531" s="11"/>
      <c r="P531" s="11"/>
      <c r="Q531" s="11"/>
      <c r="S531" s="11"/>
      <c r="T531" s="11"/>
      <c r="U531" s="11"/>
      <c r="V531" s="11"/>
      <c r="X531" s="11"/>
    </row>
    <row r="532"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N532" s="11"/>
      <c r="O532" s="11"/>
      <c r="P532" s="11"/>
      <c r="Q532" s="11"/>
      <c r="S532" s="11"/>
      <c r="T532" s="11"/>
      <c r="U532" s="11"/>
      <c r="V532" s="11"/>
      <c r="X532" s="11"/>
    </row>
    <row r="533"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N533" s="11"/>
      <c r="O533" s="11"/>
      <c r="P533" s="11"/>
      <c r="Q533" s="11"/>
      <c r="S533" s="11"/>
      <c r="T533" s="11"/>
      <c r="U533" s="11"/>
      <c r="V533" s="11"/>
      <c r="X533" s="11"/>
    </row>
    <row r="534"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N534" s="11"/>
      <c r="O534" s="11"/>
      <c r="P534" s="11"/>
      <c r="Q534" s="11"/>
      <c r="S534" s="11"/>
      <c r="T534" s="11"/>
      <c r="U534" s="11"/>
      <c r="V534" s="11"/>
      <c r="X534" s="11"/>
    </row>
    <row r="535"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N535" s="11"/>
      <c r="O535" s="11"/>
      <c r="P535" s="11"/>
      <c r="Q535" s="11"/>
      <c r="S535" s="11"/>
      <c r="T535" s="11"/>
      <c r="U535" s="11"/>
      <c r="V535" s="11"/>
      <c r="X535" s="11"/>
    </row>
    <row r="536"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N536" s="11"/>
      <c r="O536" s="11"/>
      <c r="P536" s="11"/>
      <c r="Q536" s="11"/>
      <c r="S536" s="11"/>
      <c r="T536" s="11"/>
      <c r="U536" s="11"/>
      <c r="V536" s="11"/>
      <c r="X536" s="11"/>
    </row>
    <row r="537"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N537" s="11"/>
      <c r="O537" s="11"/>
      <c r="P537" s="11"/>
      <c r="Q537" s="11"/>
      <c r="S537" s="11"/>
      <c r="T537" s="11"/>
      <c r="U537" s="11"/>
      <c r="V537" s="11"/>
      <c r="X537" s="11"/>
    </row>
    <row r="538"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N538" s="11"/>
      <c r="O538" s="11"/>
      <c r="P538" s="11"/>
      <c r="Q538" s="11"/>
      <c r="S538" s="11"/>
      <c r="T538" s="11"/>
      <c r="U538" s="11"/>
      <c r="V538" s="11"/>
      <c r="X538" s="11"/>
    </row>
    <row r="539"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N539" s="11"/>
      <c r="O539" s="11"/>
      <c r="P539" s="11"/>
      <c r="Q539" s="11"/>
      <c r="S539" s="11"/>
      <c r="T539" s="11"/>
      <c r="U539" s="11"/>
      <c r="V539" s="11"/>
      <c r="X539" s="11"/>
    </row>
    <row r="540"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N540" s="11"/>
      <c r="O540" s="11"/>
      <c r="P540" s="11"/>
      <c r="Q540" s="11"/>
      <c r="S540" s="11"/>
      <c r="T540" s="11"/>
      <c r="U540" s="11"/>
      <c r="V540" s="11"/>
      <c r="X540" s="11"/>
    </row>
    <row r="541"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N541" s="11"/>
      <c r="O541" s="11"/>
      <c r="P541" s="11"/>
      <c r="Q541" s="11"/>
      <c r="S541" s="11"/>
      <c r="T541" s="11"/>
      <c r="U541" s="11"/>
      <c r="V541" s="11"/>
      <c r="X541" s="11"/>
    </row>
    <row r="542"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N542" s="11"/>
      <c r="O542" s="11"/>
      <c r="P542" s="11"/>
      <c r="Q542" s="11"/>
      <c r="S542" s="11"/>
      <c r="T542" s="11"/>
      <c r="U542" s="11"/>
      <c r="V542" s="11"/>
      <c r="X542" s="11"/>
    </row>
    <row r="543"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N543" s="11"/>
      <c r="O543" s="11"/>
      <c r="P543" s="11"/>
      <c r="Q543" s="11"/>
      <c r="S543" s="11"/>
      <c r="T543" s="11"/>
      <c r="U543" s="11"/>
      <c r="V543" s="11"/>
      <c r="X543" s="11"/>
    </row>
    <row r="544"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N544" s="11"/>
      <c r="O544" s="11"/>
      <c r="P544" s="11"/>
      <c r="Q544" s="11"/>
      <c r="S544" s="11"/>
      <c r="T544" s="11"/>
      <c r="U544" s="11"/>
      <c r="V544" s="11"/>
      <c r="X544" s="11"/>
    </row>
    <row r="545"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N545" s="11"/>
      <c r="O545" s="11"/>
      <c r="P545" s="11"/>
      <c r="Q545" s="11"/>
      <c r="S545" s="11"/>
      <c r="T545" s="11"/>
      <c r="U545" s="11"/>
      <c r="V545" s="11"/>
      <c r="X545" s="11"/>
    </row>
    <row r="546"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N546" s="11"/>
      <c r="O546" s="11"/>
      <c r="P546" s="11"/>
      <c r="Q546" s="11"/>
      <c r="S546" s="11"/>
      <c r="T546" s="11"/>
      <c r="U546" s="11"/>
      <c r="V546" s="11"/>
      <c r="X546" s="11"/>
    </row>
    <row r="547"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N547" s="11"/>
      <c r="O547" s="11"/>
      <c r="P547" s="11"/>
      <c r="Q547" s="11"/>
      <c r="S547" s="11"/>
      <c r="T547" s="11"/>
      <c r="U547" s="11"/>
      <c r="V547" s="11"/>
      <c r="X547" s="11"/>
    </row>
    <row r="548"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N548" s="11"/>
      <c r="O548" s="11"/>
      <c r="P548" s="11"/>
      <c r="Q548" s="11"/>
      <c r="S548" s="11"/>
      <c r="T548" s="11"/>
      <c r="U548" s="11"/>
      <c r="V548" s="11"/>
      <c r="X548" s="11"/>
    </row>
    <row r="549"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N549" s="11"/>
      <c r="O549" s="11"/>
      <c r="P549" s="11"/>
      <c r="Q549" s="11"/>
      <c r="S549" s="11"/>
      <c r="T549" s="11"/>
      <c r="U549" s="11"/>
      <c r="V549" s="11"/>
      <c r="X549" s="11"/>
    </row>
    <row r="550"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N550" s="11"/>
      <c r="O550" s="11"/>
      <c r="P550" s="11"/>
      <c r="Q550" s="11"/>
      <c r="S550" s="11"/>
      <c r="T550" s="11"/>
      <c r="U550" s="11"/>
      <c r="V550" s="11"/>
      <c r="X550" s="11"/>
    </row>
    <row r="551"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N551" s="11"/>
      <c r="O551" s="11"/>
      <c r="P551" s="11"/>
      <c r="Q551" s="11"/>
      <c r="S551" s="11"/>
      <c r="T551" s="11"/>
      <c r="U551" s="11"/>
      <c r="V551" s="11"/>
      <c r="X551" s="11"/>
    </row>
    <row r="552"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N552" s="11"/>
      <c r="O552" s="11"/>
      <c r="P552" s="11"/>
      <c r="Q552" s="11"/>
      <c r="S552" s="11"/>
      <c r="T552" s="11"/>
      <c r="U552" s="11"/>
      <c r="V552" s="11"/>
      <c r="X552" s="11"/>
    </row>
    <row r="553"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N553" s="11"/>
      <c r="O553" s="11"/>
      <c r="P553" s="11"/>
      <c r="Q553" s="11"/>
      <c r="S553" s="11"/>
      <c r="T553" s="11"/>
      <c r="U553" s="11"/>
      <c r="V553" s="11"/>
      <c r="X553" s="11"/>
    </row>
    <row r="554"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N554" s="11"/>
      <c r="O554" s="11"/>
      <c r="P554" s="11"/>
      <c r="Q554" s="11"/>
      <c r="S554" s="11"/>
      <c r="T554" s="11"/>
      <c r="U554" s="11"/>
      <c r="V554" s="11"/>
      <c r="X554" s="11"/>
    </row>
    <row r="555"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N555" s="11"/>
      <c r="O555" s="11"/>
      <c r="P555" s="11"/>
      <c r="Q555" s="11"/>
      <c r="S555" s="11"/>
      <c r="T555" s="11"/>
      <c r="U555" s="11"/>
      <c r="V555" s="11"/>
      <c r="X555" s="11"/>
    </row>
    <row r="556"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N556" s="11"/>
      <c r="O556" s="11"/>
      <c r="P556" s="11"/>
      <c r="Q556" s="11"/>
      <c r="S556" s="11"/>
      <c r="T556" s="11"/>
      <c r="U556" s="11"/>
      <c r="V556" s="11"/>
      <c r="X556" s="11"/>
    </row>
    <row r="557"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N557" s="11"/>
      <c r="O557" s="11"/>
      <c r="P557" s="11"/>
      <c r="Q557" s="11"/>
      <c r="S557" s="11"/>
      <c r="T557" s="11"/>
      <c r="U557" s="11"/>
      <c r="V557" s="11"/>
      <c r="X557" s="11"/>
    </row>
    <row r="558"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N558" s="11"/>
      <c r="O558" s="11"/>
      <c r="P558" s="11"/>
      <c r="Q558" s="11"/>
      <c r="S558" s="11"/>
      <c r="T558" s="11"/>
      <c r="U558" s="11"/>
      <c r="V558" s="11"/>
      <c r="X558" s="11"/>
    </row>
    <row r="559"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N559" s="11"/>
      <c r="O559" s="11"/>
      <c r="P559" s="11"/>
      <c r="Q559" s="11"/>
      <c r="S559" s="11"/>
      <c r="T559" s="11"/>
      <c r="U559" s="11"/>
      <c r="V559" s="11"/>
      <c r="X559" s="11"/>
    </row>
    <row r="560"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N560" s="11"/>
      <c r="O560" s="11"/>
      <c r="P560" s="11"/>
      <c r="Q560" s="11"/>
      <c r="S560" s="11"/>
      <c r="T560" s="11"/>
      <c r="U560" s="11"/>
      <c r="V560" s="11"/>
      <c r="X560" s="11"/>
    </row>
    <row r="561"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N561" s="11"/>
      <c r="O561" s="11"/>
      <c r="P561" s="11"/>
      <c r="Q561" s="11"/>
      <c r="S561" s="11"/>
      <c r="T561" s="11"/>
      <c r="U561" s="11"/>
      <c r="V561" s="11"/>
      <c r="X561" s="11"/>
    </row>
    <row r="562"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N562" s="11"/>
      <c r="O562" s="11"/>
      <c r="P562" s="11"/>
      <c r="Q562" s="11"/>
      <c r="S562" s="11"/>
      <c r="T562" s="11"/>
      <c r="U562" s="11"/>
      <c r="V562" s="11"/>
      <c r="X562" s="11"/>
    </row>
    <row r="563"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N563" s="11"/>
      <c r="O563" s="11"/>
      <c r="P563" s="11"/>
      <c r="Q563" s="11"/>
      <c r="S563" s="11"/>
      <c r="T563" s="11"/>
      <c r="U563" s="11"/>
      <c r="V563" s="11"/>
      <c r="X563" s="11"/>
    </row>
    <row r="564"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N564" s="11"/>
      <c r="O564" s="11"/>
      <c r="P564" s="11"/>
      <c r="Q564" s="11"/>
      <c r="S564" s="11"/>
      <c r="T564" s="11"/>
      <c r="U564" s="11"/>
      <c r="V564" s="11"/>
      <c r="X564" s="11"/>
    </row>
    <row r="565"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N565" s="11"/>
      <c r="O565" s="11"/>
      <c r="P565" s="11"/>
      <c r="Q565" s="11"/>
      <c r="S565" s="11"/>
      <c r="T565" s="11"/>
      <c r="U565" s="11"/>
      <c r="V565" s="11"/>
      <c r="X565" s="11"/>
    </row>
    <row r="566"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N566" s="11"/>
      <c r="O566" s="11"/>
      <c r="P566" s="11"/>
      <c r="Q566" s="11"/>
      <c r="S566" s="11"/>
      <c r="T566" s="11"/>
      <c r="U566" s="11"/>
      <c r="V566" s="11"/>
      <c r="X566" s="11"/>
    </row>
    <row r="567"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N567" s="11"/>
      <c r="O567" s="11"/>
      <c r="P567" s="11"/>
      <c r="Q567" s="11"/>
      <c r="S567" s="11"/>
      <c r="T567" s="11"/>
      <c r="U567" s="11"/>
      <c r="V567" s="11"/>
      <c r="X567" s="11"/>
    </row>
    <row r="568"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N568" s="11"/>
      <c r="O568" s="11"/>
      <c r="P568" s="11"/>
      <c r="Q568" s="11"/>
      <c r="S568" s="11"/>
      <c r="T568" s="11"/>
      <c r="U568" s="11"/>
      <c r="V568" s="11"/>
      <c r="X568" s="11"/>
    </row>
    <row r="569"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N569" s="11"/>
      <c r="O569" s="11"/>
      <c r="P569" s="11"/>
      <c r="Q569" s="11"/>
      <c r="S569" s="11"/>
      <c r="T569" s="11"/>
      <c r="U569" s="11"/>
      <c r="V569" s="11"/>
      <c r="X569" s="11"/>
    </row>
    <row r="570"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N570" s="11"/>
      <c r="O570" s="11"/>
      <c r="P570" s="11"/>
      <c r="Q570" s="11"/>
      <c r="S570" s="11"/>
      <c r="T570" s="11"/>
      <c r="U570" s="11"/>
      <c r="V570" s="11"/>
      <c r="X570" s="11"/>
    </row>
    <row r="571"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N571" s="11"/>
      <c r="O571" s="11"/>
      <c r="P571" s="11"/>
      <c r="Q571" s="11"/>
      <c r="S571" s="11"/>
      <c r="T571" s="11"/>
      <c r="U571" s="11"/>
      <c r="V571" s="11"/>
      <c r="X571" s="11"/>
    </row>
    <row r="572"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N572" s="11"/>
      <c r="O572" s="11"/>
      <c r="P572" s="11"/>
      <c r="Q572" s="11"/>
      <c r="S572" s="11"/>
      <c r="T572" s="11"/>
      <c r="U572" s="11"/>
      <c r="V572" s="11"/>
      <c r="X572" s="11"/>
    </row>
    <row r="573"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N573" s="11"/>
      <c r="O573" s="11"/>
      <c r="P573" s="11"/>
      <c r="Q573" s="11"/>
      <c r="S573" s="11"/>
      <c r="T573" s="11"/>
      <c r="U573" s="11"/>
      <c r="V573" s="11"/>
      <c r="X573" s="11"/>
    </row>
    <row r="574"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N574" s="11"/>
      <c r="O574" s="11"/>
      <c r="P574" s="11"/>
      <c r="Q574" s="11"/>
      <c r="S574" s="11"/>
      <c r="T574" s="11"/>
      <c r="U574" s="11"/>
      <c r="V574" s="11"/>
      <c r="X574" s="11"/>
    </row>
    <row r="575"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N575" s="11"/>
      <c r="O575" s="11"/>
      <c r="P575" s="11"/>
      <c r="Q575" s="11"/>
      <c r="S575" s="11"/>
      <c r="T575" s="11"/>
      <c r="U575" s="11"/>
      <c r="V575" s="11"/>
      <c r="X575" s="11"/>
    </row>
    <row r="576"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N576" s="11"/>
      <c r="O576" s="11"/>
      <c r="P576" s="11"/>
      <c r="Q576" s="11"/>
      <c r="S576" s="11"/>
      <c r="T576" s="11"/>
      <c r="U576" s="11"/>
      <c r="V576" s="11"/>
      <c r="X576" s="11"/>
    </row>
    <row r="577"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N577" s="11"/>
      <c r="O577" s="11"/>
      <c r="P577" s="11"/>
      <c r="Q577" s="11"/>
      <c r="S577" s="11"/>
      <c r="T577" s="11"/>
      <c r="U577" s="11"/>
      <c r="V577" s="11"/>
      <c r="X577" s="11"/>
    </row>
    <row r="578"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N578" s="11"/>
      <c r="O578" s="11"/>
      <c r="P578" s="11"/>
      <c r="Q578" s="11"/>
      <c r="S578" s="11"/>
      <c r="T578" s="11"/>
      <c r="U578" s="11"/>
      <c r="V578" s="11"/>
      <c r="X578" s="11"/>
    </row>
    <row r="579"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N579" s="11"/>
      <c r="O579" s="11"/>
      <c r="P579" s="11"/>
      <c r="Q579" s="11"/>
      <c r="S579" s="11"/>
      <c r="T579" s="11"/>
      <c r="U579" s="11"/>
      <c r="V579" s="11"/>
      <c r="X579" s="11"/>
    </row>
    <row r="580"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N580" s="11"/>
      <c r="O580" s="11"/>
      <c r="P580" s="11"/>
      <c r="Q580" s="11"/>
      <c r="S580" s="11"/>
      <c r="T580" s="11"/>
      <c r="U580" s="11"/>
      <c r="V580" s="11"/>
      <c r="X580" s="11"/>
    </row>
    <row r="581"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N581" s="11"/>
      <c r="O581" s="11"/>
      <c r="P581" s="11"/>
      <c r="Q581" s="11"/>
      <c r="S581" s="11"/>
      <c r="T581" s="11"/>
      <c r="U581" s="11"/>
      <c r="V581" s="11"/>
      <c r="X581" s="11"/>
    </row>
    <row r="582"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N582" s="11"/>
      <c r="O582" s="11"/>
      <c r="P582" s="11"/>
      <c r="Q582" s="11"/>
      <c r="S582" s="11"/>
      <c r="T582" s="11"/>
      <c r="U582" s="11"/>
      <c r="V582" s="11"/>
      <c r="X582" s="11"/>
    </row>
    <row r="583"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N583" s="11"/>
      <c r="O583" s="11"/>
      <c r="P583" s="11"/>
      <c r="Q583" s="11"/>
      <c r="S583" s="11"/>
      <c r="T583" s="11"/>
      <c r="U583" s="11"/>
      <c r="V583" s="11"/>
      <c r="X583" s="11"/>
    </row>
    <row r="584"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N584" s="11"/>
      <c r="O584" s="11"/>
      <c r="P584" s="11"/>
      <c r="Q584" s="11"/>
      <c r="S584" s="11"/>
      <c r="T584" s="11"/>
      <c r="U584" s="11"/>
      <c r="V584" s="11"/>
      <c r="X584" s="11"/>
    </row>
    <row r="585"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N585" s="11"/>
      <c r="O585" s="11"/>
      <c r="P585" s="11"/>
      <c r="Q585" s="11"/>
      <c r="S585" s="11"/>
      <c r="T585" s="11"/>
      <c r="U585" s="11"/>
      <c r="V585" s="11"/>
      <c r="X585" s="11"/>
    </row>
    <row r="586"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N586" s="11"/>
      <c r="O586" s="11"/>
      <c r="P586" s="11"/>
      <c r="Q586" s="11"/>
      <c r="S586" s="11"/>
      <c r="T586" s="11"/>
      <c r="U586" s="11"/>
      <c r="V586" s="11"/>
      <c r="X586" s="11"/>
    </row>
    <row r="587"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N587" s="11"/>
      <c r="O587" s="11"/>
      <c r="P587" s="11"/>
      <c r="Q587" s="11"/>
      <c r="S587" s="11"/>
      <c r="T587" s="11"/>
      <c r="U587" s="11"/>
      <c r="V587" s="11"/>
      <c r="X587" s="11"/>
    </row>
    <row r="588"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N588" s="11"/>
      <c r="O588" s="11"/>
      <c r="P588" s="11"/>
      <c r="Q588" s="11"/>
      <c r="S588" s="11"/>
      <c r="T588" s="11"/>
      <c r="U588" s="11"/>
      <c r="V588" s="11"/>
      <c r="X588" s="11"/>
    </row>
    <row r="589"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N589" s="11"/>
      <c r="O589" s="11"/>
      <c r="P589" s="11"/>
      <c r="Q589" s="11"/>
      <c r="S589" s="11"/>
      <c r="T589" s="11"/>
      <c r="U589" s="11"/>
      <c r="V589" s="11"/>
      <c r="X589" s="11"/>
    </row>
    <row r="590"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N590" s="11"/>
      <c r="O590" s="11"/>
      <c r="P590" s="11"/>
      <c r="Q590" s="11"/>
      <c r="S590" s="11"/>
      <c r="T590" s="11"/>
      <c r="U590" s="11"/>
      <c r="V590" s="11"/>
      <c r="X590" s="11"/>
    </row>
    <row r="591"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N591" s="11"/>
      <c r="O591" s="11"/>
      <c r="P591" s="11"/>
      <c r="Q591" s="11"/>
      <c r="S591" s="11"/>
      <c r="T591" s="11"/>
      <c r="U591" s="11"/>
      <c r="V591" s="11"/>
      <c r="X591" s="11"/>
    </row>
    <row r="592"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N592" s="11"/>
      <c r="O592" s="11"/>
      <c r="P592" s="11"/>
      <c r="Q592" s="11"/>
      <c r="S592" s="11"/>
      <c r="T592" s="11"/>
      <c r="U592" s="11"/>
      <c r="V592" s="11"/>
      <c r="X592" s="11"/>
    </row>
    <row r="593"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N593" s="11"/>
      <c r="O593" s="11"/>
      <c r="P593" s="11"/>
      <c r="Q593" s="11"/>
      <c r="S593" s="11"/>
      <c r="T593" s="11"/>
      <c r="U593" s="11"/>
      <c r="V593" s="11"/>
      <c r="X593" s="11"/>
    </row>
    <row r="594"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N594" s="11"/>
      <c r="O594" s="11"/>
      <c r="P594" s="11"/>
      <c r="Q594" s="11"/>
      <c r="S594" s="11"/>
      <c r="T594" s="11"/>
      <c r="U594" s="11"/>
      <c r="V594" s="11"/>
      <c r="X594" s="11"/>
    </row>
    <row r="595"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N595" s="11"/>
      <c r="O595" s="11"/>
      <c r="P595" s="11"/>
      <c r="Q595" s="11"/>
      <c r="S595" s="11"/>
      <c r="T595" s="11"/>
      <c r="U595" s="11"/>
      <c r="V595" s="11"/>
      <c r="X595" s="11"/>
    </row>
    <row r="596"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N596" s="11"/>
      <c r="O596" s="11"/>
      <c r="P596" s="11"/>
      <c r="Q596" s="11"/>
      <c r="S596" s="11"/>
      <c r="T596" s="11"/>
      <c r="U596" s="11"/>
      <c r="V596" s="11"/>
      <c r="X596" s="11"/>
    </row>
    <row r="597"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N597" s="11"/>
      <c r="O597" s="11"/>
      <c r="P597" s="11"/>
      <c r="Q597" s="11"/>
      <c r="S597" s="11"/>
      <c r="T597" s="11"/>
      <c r="U597" s="11"/>
      <c r="V597" s="11"/>
      <c r="X597" s="11"/>
    </row>
    <row r="598"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N598" s="11"/>
      <c r="O598" s="11"/>
      <c r="P598" s="11"/>
      <c r="Q598" s="11"/>
      <c r="S598" s="11"/>
      <c r="T598" s="11"/>
      <c r="U598" s="11"/>
      <c r="V598" s="11"/>
      <c r="X598" s="11"/>
    </row>
    <row r="599"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N599" s="11"/>
      <c r="O599" s="11"/>
      <c r="P599" s="11"/>
      <c r="Q599" s="11"/>
      <c r="S599" s="11"/>
      <c r="T599" s="11"/>
      <c r="U599" s="11"/>
      <c r="V599" s="11"/>
      <c r="X599" s="11"/>
    </row>
    <row r="600"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N600" s="11"/>
      <c r="O600" s="11"/>
      <c r="P600" s="11"/>
      <c r="Q600" s="11"/>
      <c r="S600" s="11"/>
      <c r="T600" s="11"/>
      <c r="U600" s="11"/>
      <c r="V600" s="11"/>
      <c r="X600" s="11"/>
    </row>
    <row r="601"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N601" s="11"/>
      <c r="O601" s="11"/>
      <c r="P601" s="11"/>
      <c r="Q601" s="11"/>
      <c r="S601" s="11"/>
      <c r="T601" s="11"/>
      <c r="U601" s="11"/>
      <c r="V601" s="11"/>
      <c r="X601" s="11"/>
    </row>
    <row r="602"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N602" s="11"/>
      <c r="O602" s="11"/>
      <c r="P602" s="11"/>
      <c r="Q602" s="11"/>
      <c r="S602" s="11"/>
      <c r="T602" s="11"/>
      <c r="U602" s="11"/>
      <c r="V602" s="11"/>
      <c r="X602" s="11"/>
    </row>
    <row r="603"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N603" s="11"/>
      <c r="O603" s="11"/>
      <c r="P603" s="11"/>
      <c r="Q603" s="11"/>
      <c r="S603" s="11"/>
      <c r="T603" s="11"/>
      <c r="U603" s="11"/>
      <c r="V603" s="11"/>
      <c r="X603" s="11"/>
    </row>
    <row r="604"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N604" s="11"/>
      <c r="O604" s="11"/>
      <c r="P604" s="11"/>
      <c r="Q604" s="11"/>
      <c r="S604" s="11"/>
      <c r="T604" s="11"/>
      <c r="U604" s="11"/>
      <c r="V604" s="11"/>
      <c r="X604" s="11"/>
    </row>
    <row r="605"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N605" s="11"/>
      <c r="O605" s="11"/>
      <c r="P605" s="11"/>
      <c r="Q605" s="11"/>
      <c r="S605" s="11"/>
      <c r="T605" s="11"/>
      <c r="U605" s="11"/>
      <c r="V605" s="11"/>
      <c r="X605" s="11"/>
    </row>
    <row r="606"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N606" s="11"/>
      <c r="O606" s="11"/>
      <c r="P606" s="11"/>
      <c r="Q606" s="11"/>
      <c r="S606" s="11"/>
      <c r="T606" s="11"/>
      <c r="U606" s="11"/>
      <c r="V606" s="11"/>
      <c r="X606" s="11"/>
    </row>
    <row r="607"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N607" s="11"/>
      <c r="O607" s="11"/>
      <c r="P607" s="11"/>
      <c r="Q607" s="11"/>
      <c r="S607" s="11"/>
      <c r="T607" s="11"/>
      <c r="U607" s="11"/>
      <c r="V607" s="11"/>
      <c r="X607" s="11"/>
    </row>
    <row r="608"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N608" s="11"/>
      <c r="O608" s="11"/>
      <c r="P608" s="11"/>
      <c r="Q608" s="11"/>
      <c r="S608" s="11"/>
      <c r="T608" s="11"/>
      <c r="U608" s="11"/>
      <c r="V608" s="11"/>
      <c r="X608" s="11"/>
    </row>
    <row r="609"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N609" s="11"/>
      <c r="O609" s="11"/>
      <c r="P609" s="11"/>
      <c r="Q609" s="11"/>
      <c r="S609" s="11"/>
      <c r="T609" s="11"/>
      <c r="U609" s="11"/>
      <c r="V609" s="11"/>
      <c r="X609" s="11"/>
    </row>
    <row r="610"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N610" s="11"/>
      <c r="O610" s="11"/>
      <c r="P610" s="11"/>
      <c r="Q610" s="11"/>
      <c r="S610" s="11"/>
      <c r="T610" s="11"/>
      <c r="U610" s="11"/>
      <c r="V610" s="11"/>
      <c r="X610" s="11"/>
    </row>
    <row r="611"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N611" s="11"/>
      <c r="O611" s="11"/>
      <c r="P611" s="11"/>
      <c r="Q611" s="11"/>
      <c r="S611" s="11"/>
      <c r="T611" s="11"/>
      <c r="U611" s="11"/>
      <c r="V611" s="11"/>
      <c r="X611" s="11"/>
    </row>
    <row r="612"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N612" s="11"/>
      <c r="O612" s="11"/>
      <c r="P612" s="11"/>
      <c r="Q612" s="11"/>
      <c r="S612" s="11"/>
      <c r="T612" s="11"/>
      <c r="U612" s="11"/>
      <c r="V612" s="11"/>
      <c r="X612" s="11"/>
    </row>
    <row r="613"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N613" s="11"/>
      <c r="O613" s="11"/>
      <c r="P613" s="11"/>
      <c r="Q613" s="11"/>
      <c r="S613" s="11"/>
      <c r="T613" s="11"/>
      <c r="U613" s="11"/>
      <c r="V613" s="11"/>
      <c r="X613" s="11"/>
    </row>
    <row r="614"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N614" s="11"/>
      <c r="O614" s="11"/>
      <c r="P614" s="11"/>
      <c r="Q614" s="11"/>
      <c r="S614" s="11"/>
      <c r="T614" s="11"/>
      <c r="U614" s="11"/>
      <c r="V614" s="11"/>
      <c r="X614" s="11"/>
    </row>
    <row r="615"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N615" s="11"/>
      <c r="O615" s="11"/>
      <c r="P615" s="11"/>
      <c r="Q615" s="11"/>
      <c r="S615" s="11"/>
      <c r="T615" s="11"/>
      <c r="U615" s="11"/>
      <c r="V615" s="11"/>
      <c r="X615" s="11"/>
    </row>
    <row r="616"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N616" s="11"/>
      <c r="O616" s="11"/>
      <c r="P616" s="11"/>
      <c r="Q616" s="11"/>
      <c r="S616" s="11"/>
      <c r="T616" s="11"/>
      <c r="U616" s="11"/>
      <c r="V616" s="11"/>
      <c r="X616" s="11"/>
    </row>
    <row r="617"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N617" s="11"/>
      <c r="O617" s="11"/>
      <c r="P617" s="11"/>
      <c r="Q617" s="11"/>
      <c r="S617" s="11"/>
      <c r="T617" s="11"/>
      <c r="U617" s="11"/>
      <c r="V617" s="11"/>
      <c r="X617" s="11"/>
    </row>
    <row r="618"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N618" s="11"/>
      <c r="O618" s="11"/>
      <c r="P618" s="11"/>
      <c r="Q618" s="11"/>
      <c r="S618" s="11"/>
      <c r="T618" s="11"/>
      <c r="U618" s="11"/>
      <c r="V618" s="11"/>
      <c r="X618" s="11"/>
    </row>
    <row r="619"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N619" s="11"/>
      <c r="O619" s="11"/>
      <c r="P619" s="11"/>
      <c r="Q619" s="11"/>
      <c r="S619" s="11"/>
      <c r="T619" s="11"/>
      <c r="U619" s="11"/>
      <c r="V619" s="11"/>
      <c r="X619" s="11"/>
    </row>
    <row r="620"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N620" s="11"/>
      <c r="O620" s="11"/>
      <c r="P620" s="11"/>
      <c r="Q620" s="11"/>
      <c r="S620" s="11"/>
      <c r="T620" s="11"/>
      <c r="U620" s="11"/>
      <c r="V620" s="11"/>
      <c r="X620" s="11"/>
    </row>
    <row r="621"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N621" s="11"/>
      <c r="O621" s="11"/>
      <c r="P621" s="11"/>
      <c r="Q621" s="11"/>
      <c r="S621" s="11"/>
      <c r="T621" s="11"/>
      <c r="U621" s="11"/>
      <c r="V621" s="11"/>
      <c r="X621" s="11"/>
    </row>
    <row r="622"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N622" s="11"/>
      <c r="O622" s="11"/>
      <c r="P622" s="11"/>
      <c r="Q622" s="11"/>
      <c r="S622" s="11"/>
      <c r="T622" s="11"/>
      <c r="U622" s="11"/>
      <c r="V622" s="11"/>
      <c r="X622" s="11"/>
    </row>
    <row r="623"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N623" s="11"/>
      <c r="O623" s="11"/>
      <c r="P623" s="11"/>
      <c r="Q623" s="11"/>
      <c r="S623" s="11"/>
      <c r="T623" s="11"/>
      <c r="U623" s="11"/>
      <c r="V623" s="11"/>
      <c r="X623" s="11"/>
    </row>
    <row r="624"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N624" s="11"/>
      <c r="O624" s="11"/>
      <c r="P624" s="11"/>
      <c r="Q624" s="11"/>
      <c r="S624" s="11"/>
      <c r="T624" s="11"/>
      <c r="U624" s="11"/>
      <c r="V624" s="11"/>
      <c r="X624" s="11"/>
    </row>
    <row r="625"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N625" s="11"/>
      <c r="O625" s="11"/>
      <c r="P625" s="11"/>
      <c r="Q625" s="11"/>
      <c r="S625" s="11"/>
      <c r="T625" s="11"/>
      <c r="U625" s="11"/>
      <c r="V625" s="11"/>
      <c r="X625" s="11"/>
    </row>
    <row r="626"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N626" s="11"/>
      <c r="O626" s="11"/>
      <c r="P626" s="11"/>
      <c r="Q626" s="11"/>
      <c r="S626" s="11"/>
      <c r="T626" s="11"/>
      <c r="U626" s="11"/>
      <c r="V626" s="11"/>
      <c r="X626" s="11"/>
    </row>
    <row r="627"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N627" s="11"/>
      <c r="O627" s="11"/>
      <c r="P627" s="11"/>
      <c r="Q627" s="11"/>
      <c r="S627" s="11"/>
      <c r="T627" s="11"/>
      <c r="U627" s="11"/>
      <c r="V627" s="11"/>
      <c r="X627" s="11"/>
    </row>
    <row r="628"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N628" s="11"/>
      <c r="O628" s="11"/>
      <c r="P628" s="11"/>
      <c r="Q628" s="11"/>
      <c r="S628" s="11"/>
      <c r="T628" s="11"/>
      <c r="U628" s="11"/>
      <c r="V628" s="11"/>
      <c r="X628" s="11"/>
    </row>
    <row r="629"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N629" s="11"/>
      <c r="O629" s="11"/>
      <c r="P629" s="11"/>
      <c r="Q629" s="11"/>
      <c r="S629" s="11"/>
      <c r="T629" s="11"/>
      <c r="U629" s="11"/>
      <c r="V629" s="11"/>
      <c r="X629" s="11"/>
    </row>
    <row r="630"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N630" s="11"/>
      <c r="O630" s="11"/>
      <c r="P630" s="11"/>
      <c r="Q630" s="11"/>
      <c r="S630" s="11"/>
      <c r="T630" s="11"/>
      <c r="U630" s="11"/>
      <c r="V630" s="11"/>
      <c r="X630" s="11"/>
    </row>
    <row r="631"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N631" s="11"/>
      <c r="O631" s="11"/>
      <c r="P631" s="11"/>
      <c r="Q631" s="11"/>
      <c r="S631" s="11"/>
      <c r="T631" s="11"/>
      <c r="U631" s="11"/>
      <c r="V631" s="11"/>
      <c r="X631" s="11"/>
    </row>
    <row r="632"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N632" s="11"/>
      <c r="O632" s="11"/>
      <c r="P632" s="11"/>
      <c r="Q632" s="11"/>
      <c r="S632" s="11"/>
      <c r="T632" s="11"/>
      <c r="U632" s="11"/>
      <c r="V632" s="11"/>
      <c r="X632" s="11"/>
    </row>
    <row r="633"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N633" s="11"/>
      <c r="O633" s="11"/>
      <c r="P633" s="11"/>
      <c r="Q633" s="11"/>
      <c r="S633" s="11"/>
      <c r="T633" s="11"/>
      <c r="U633" s="11"/>
      <c r="V633" s="11"/>
      <c r="X633" s="11"/>
    </row>
    <row r="634"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N634" s="11"/>
      <c r="O634" s="11"/>
      <c r="P634" s="11"/>
      <c r="Q634" s="11"/>
      <c r="S634" s="11"/>
      <c r="T634" s="11"/>
      <c r="U634" s="11"/>
      <c r="V634" s="11"/>
      <c r="X634" s="11"/>
    </row>
    <row r="635"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N635" s="11"/>
      <c r="O635" s="11"/>
      <c r="P635" s="11"/>
      <c r="Q635" s="11"/>
      <c r="S635" s="11"/>
      <c r="T635" s="11"/>
      <c r="U635" s="11"/>
      <c r="V635" s="11"/>
      <c r="X635" s="11"/>
    </row>
    <row r="636"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N636" s="11"/>
      <c r="O636" s="11"/>
      <c r="P636" s="11"/>
      <c r="Q636" s="11"/>
      <c r="S636" s="11"/>
      <c r="T636" s="11"/>
      <c r="U636" s="11"/>
      <c r="V636" s="11"/>
      <c r="X636" s="11"/>
    </row>
    <row r="637"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N637" s="11"/>
      <c r="O637" s="11"/>
      <c r="P637" s="11"/>
      <c r="Q637" s="11"/>
      <c r="S637" s="11"/>
      <c r="T637" s="11"/>
      <c r="U637" s="11"/>
      <c r="V637" s="11"/>
      <c r="X637" s="11"/>
    </row>
    <row r="638"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N638" s="11"/>
      <c r="O638" s="11"/>
      <c r="P638" s="11"/>
      <c r="Q638" s="11"/>
      <c r="S638" s="11"/>
      <c r="T638" s="11"/>
      <c r="U638" s="11"/>
      <c r="V638" s="11"/>
      <c r="X638" s="11"/>
    </row>
    <row r="639"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N639" s="11"/>
      <c r="O639" s="11"/>
      <c r="P639" s="11"/>
      <c r="Q639" s="11"/>
      <c r="S639" s="11"/>
      <c r="T639" s="11"/>
      <c r="U639" s="11"/>
      <c r="V639" s="11"/>
      <c r="X639" s="11"/>
    </row>
    <row r="640"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N640" s="11"/>
      <c r="O640" s="11"/>
      <c r="P640" s="11"/>
      <c r="Q640" s="11"/>
      <c r="S640" s="11"/>
      <c r="T640" s="11"/>
      <c r="U640" s="11"/>
      <c r="V640" s="11"/>
      <c r="X640" s="11"/>
    </row>
    <row r="641"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N641" s="11"/>
      <c r="O641" s="11"/>
      <c r="P641" s="11"/>
      <c r="Q641" s="11"/>
      <c r="S641" s="11"/>
      <c r="T641" s="11"/>
      <c r="U641" s="11"/>
      <c r="V641" s="11"/>
      <c r="X641" s="11"/>
    </row>
    <row r="642"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N642" s="11"/>
      <c r="O642" s="11"/>
      <c r="P642" s="11"/>
      <c r="Q642" s="11"/>
      <c r="S642" s="11"/>
      <c r="T642" s="11"/>
      <c r="U642" s="11"/>
      <c r="V642" s="11"/>
      <c r="X642" s="11"/>
    </row>
    <row r="643"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N643" s="11"/>
      <c r="O643" s="11"/>
      <c r="P643" s="11"/>
      <c r="Q643" s="11"/>
      <c r="S643" s="11"/>
      <c r="T643" s="11"/>
      <c r="U643" s="11"/>
      <c r="V643" s="11"/>
      <c r="X643" s="11"/>
    </row>
    <row r="644"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N644" s="11"/>
      <c r="O644" s="11"/>
      <c r="P644" s="11"/>
      <c r="Q644" s="11"/>
      <c r="S644" s="11"/>
      <c r="T644" s="11"/>
      <c r="U644" s="11"/>
      <c r="V644" s="11"/>
      <c r="X644" s="11"/>
    </row>
    <row r="645"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N645" s="11"/>
      <c r="O645" s="11"/>
      <c r="P645" s="11"/>
      <c r="Q645" s="11"/>
      <c r="S645" s="11"/>
      <c r="T645" s="11"/>
      <c r="U645" s="11"/>
      <c r="V645" s="11"/>
      <c r="X645" s="11"/>
    </row>
    <row r="646"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N646" s="11"/>
      <c r="O646" s="11"/>
      <c r="P646" s="11"/>
      <c r="Q646" s="11"/>
      <c r="S646" s="11"/>
      <c r="T646" s="11"/>
      <c r="U646" s="11"/>
      <c r="V646" s="11"/>
      <c r="X646" s="11"/>
    </row>
    <row r="647"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N647" s="11"/>
      <c r="O647" s="11"/>
      <c r="P647" s="11"/>
      <c r="Q647" s="11"/>
      <c r="S647" s="11"/>
      <c r="T647" s="11"/>
      <c r="U647" s="11"/>
      <c r="V647" s="11"/>
      <c r="X647" s="11"/>
    </row>
    <row r="648"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N648" s="11"/>
      <c r="O648" s="11"/>
      <c r="P648" s="11"/>
      <c r="Q648" s="11"/>
      <c r="S648" s="11"/>
      <c r="T648" s="11"/>
      <c r="U648" s="11"/>
      <c r="V648" s="11"/>
      <c r="X648" s="11"/>
    </row>
    <row r="649"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N649" s="11"/>
      <c r="O649" s="11"/>
      <c r="P649" s="11"/>
      <c r="Q649" s="11"/>
      <c r="S649" s="11"/>
      <c r="T649" s="11"/>
      <c r="U649" s="11"/>
      <c r="V649" s="11"/>
      <c r="X649" s="11"/>
    </row>
    <row r="650"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N650" s="11"/>
      <c r="O650" s="11"/>
      <c r="P650" s="11"/>
      <c r="Q650" s="11"/>
      <c r="S650" s="11"/>
      <c r="T650" s="11"/>
      <c r="U650" s="11"/>
      <c r="V650" s="11"/>
      <c r="X650" s="11"/>
    </row>
    <row r="651"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N651" s="11"/>
      <c r="O651" s="11"/>
      <c r="P651" s="11"/>
      <c r="Q651" s="11"/>
      <c r="S651" s="11"/>
      <c r="T651" s="11"/>
      <c r="U651" s="11"/>
      <c r="V651" s="11"/>
      <c r="X651" s="11"/>
    </row>
    <row r="652"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N652" s="11"/>
      <c r="O652" s="11"/>
      <c r="P652" s="11"/>
      <c r="Q652" s="11"/>
      <c r="S652" s="11"/>
      <c r="T652" s="11"/>
      <c r="U652" s="11"/>
      <c r="V652" s="11"/>
      <c r="X652" s="11"/>
    </row>
    <row r="653"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N653" s="11"/>
      <c r="O653" s="11"/>
      <c r="P653" s="11"/>
      <c r="Q653" s="11"/>
      <c r="S653" s="11"/>
      <c r="T653" s="11"/>
      <c r="U653" s="11"/>
      <c r="V653" s="11"/>
      <c r="X653" s="11"/>
    </row>
    <row r="654"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N654" s="11"/>
      <c r="O654" s="11"/>
      <c r="P654" s="11"/>
      <c r="Q654" s="11"/>
      <c r="S654" s="11"/>
      <c r="T654" s="11"/>
      <c r="U654" s="11"/>
      <c r="V654" s="11"/>
      <c r="X654" s="11"/>
    </row>
    <row r="655"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N655" s="11"/>
      <c r="O655" s="11"/>
      <c r="P655" s="11"/>
      <c r="Q655" s="11"/>
      <c r="S655" s="11"/>
      <c r="T655" s="11"/>
      <c r="U655" s="11"/>
      <c r="V655" s="11"/>
      <c r="X655" s="11"/>
    </row>
    <row r="656"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N656" s="11"/>
      <c r="O656" s="11"/>
      <c r="P656" s="11"/>
      <c r="Q656" s="11"/>
      <c r="S656" s="11"/>
      <c r="T656" s="11"/>
      <c r="U656" s="11"/>
      <c r="V656" s="11"/>
      <c r="X656" s="11"/>
    </row>
    <row r="657"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N657" s="11"/>
      <c r="O657" s="11"/>
      <c r="P657" s="11"/>
      <c r="Q657" s="11"/>
      <c r="S657" s="11"/>
      <c r="T657" s="11"/>
      <c r="U657" s="11"/>
      <c r="V657" s="11"/>
      <c r="X657" s="11"/>
    </row>
    <row r="658"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N658" s="11"/>
      <c r="O658" s="11"/>
      <c r="P658" s="11"/>
      <c r="Q658" s="11"/>
      <c r="S658" s="11"/>
      <c r="T658" s="11"/>
      <c r="U658" s="11"/>
      <c r="V658" s="11"/>
      <c r="X658" s="11"/>
    </row>
    <row r="659"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N659" s="11"/>
      <c r="O659" s="11"/>
      <c r="P659" s="11"/>
      <c r="Q659" s="11"/>
      <c r="S659" s="11"/>
      <c r="T659" s="11"/>
      <c r="U659" s="11"/>
      <c r="V659" s="11"/>
      <c r="X659" s="11"/>
    </row>
    <row r="660"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N660" s="11"/>
      <c r="O660" s="11"/>
      <c r="P660" s="11"/>
      <c r="Q660" s="11"/>
      <c r="S660" s="11"/>
      <c r="T660" s="11"/>
      <c r="U660" s="11"/>
      <c r="V660" s="11"/>
      <c r="X660" s="11"/>
    </row>
    <row r="661"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N661" s="11"/>
      <c r="O661" s="11"/>
      <c r="P661" s="11"/>
      <c r="Q661" s="11"/>
      <c r="S661" s="11"/>
      <c r="T661" s="11"/>
      <c r="U661" s="11"/>
      <c r="V661" s="11"/>
      <c r="X661" s="11"/>
    </row>
    <row r="662"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N662" s="11"/>
      <c r="O662" s="11"/>
      <c r="P662" s="11"/>
      <c r="Q662" s="11"/>
      <c r="S662" s="11"/>
      <c r="T662" s="11"/>
      <c r="U662" s="11"/>
      <c r="V662" s="11"/>
      <c r="X662" s="11"/>
    </row>
    <row r="663"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N663" s="11"/>
      <c r="O663" s="11"/>
      <c r="P663" s="11"/>
      <c r="Q663" s="11"/>
      <c r="S663" s="11"/>
      <c r="T663" s="11"/>
      <c r="U663" s="11"/>
      <c r="V663" s="11"/>
      <c r="X663" s="11"/>
    </row>
    <row r="664"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N664" s="11"/>
      <c r="O664" s="11"/>
      <c r="P664" s="11"/>
      <c r="Q664" s="11"/>
      <c r="S664" s="11"/>
      <c r="T664" s="11"/>
      <c r="U664" s="11"/>
      <c r="V664" s="11"/>
      <c r="X664" s="11"/>
    </row>
    <row r="665"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N665" s="11"/>
      <c r="O665" s="11"/>
      <c r="P665" s="11"/>
      <c r="Q665" s="11"/>
      <c r="S665" s="11"/>
      <c r="T665" s="11"/>
      <c r="U665" s="11"/>
      <c r="V665" s="11"/>
      <c r="X665" s="11"/>
    </row>
    <row r="666"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N666" s="11"/>
      <c r="O666" s="11"/>
      <c r="P666" s="11"/>
      <c r="Q666" s="11"/>
      <c r="S666" s="11"/>
      <c r="T666" s="11"/>
      <c r="U666" s="11"/>
      <c r="V666" s="11"/>
      <c r="X666" s="11"/>
    </row>
    <row r="667"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N667" s="11"/>
      <c r="O667" s="11"/>
      <c r="P667" s="11"/>
      <c r="Q667" s="11"/>
      <c r="S667" s="11"/>
      <c r="T667" s="11"/>
      <c r="U667" s="11"/>
      <c r="V667" s="11"/>
      <c r="X667" s="11"/>
    </row>
    <row r="668"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N668" s="11"/>
      <c r="O668" s="11"/>
      <c r="P668" s="11"/>
      <c r="Q668" s="11"/>
      <c r="S668" s="11"/>
      <c r="T668" s="11"/>
      <c r="U668" s="11"/>
      <c r="V668" s="11"/>
      <c r="X668" s="11"/>
    </row>
    <row r="669"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N669" s="11"/>
      <c r="O669" s="11"/>
      <c r="P669" s="11"/>
      <c r="Q669" s="11"/>
      <c r="S669" s="11"/>
      <c r="T669" s="11"/>
      <c r="U669" s="11"/>
      <c r="V669" s="11"/>
      <c r="X669" s="11"/>
    </row>
    <row r="670"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N670" s="11"/>
      <c r="O670" s="11"/>
      <c r="P670" s="11"/>
      <c r="Q670" s="11"/>
      <c r="S670" s="11"/>
      <c r="T670" s="11"/>
      <c r="U670" s="11"/>
      <c r="V670" s="11"/>
      <c r="X670" s="11"/>
    </row>
    <row r="671"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N671" s="11"/>
      <c r="O671" s="11"/>
      <c r="P671" s="11"/>
      <c r="Q671" s="11"/>
      <c r="S671" s="11"/>
      <c r="T671" s="11"/>
      <c r="U671" s="11"/>
      <c r="V671" s="11"/>
      <c r="X671" s="11"/>
    </row>
    <row r="672"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N672" s="11"/>
      <c r="O672" s="11"/>
      <c r="P672" s="11"/>
      <c r="Q672" s="11"/>
      <c r="S672" s="11"/>
      <c r="T672" s="11"/>
      <c r="U672" s="11"/>
      <c r="V672" s="11"/>
      <c r="X672" s="11"/>
    </row>
    <row r="673"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N673" s="11"/>
      <c r="O673" s="11"/>
      <c r="P673" s="11"/>
      <c r="Q673" s="11"/>
      <c r="S673" s="11"/>
      <c r="T673" s="11"/>
      <c r="U673" s="11"/>
      <c r="V673" s="11"/>
      <c r="X673" s="11"/>
    </row>
    <row r="674"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N674" s="11"/>
      <c r="O674" s="11"/>
      <c r="P674" s="11"/>
      <c r="Q674" s="11"/>
      <c r="S674" s="11"/>
      <c r="T674" s="11"/>
      <c r="U674" s="11"/>
      <c r="V674" s="11"/>
      <c r="X674" s="11"/>
    </row>
    <row r="675"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N675" s="11"/>
      <c r="O675" s="11"/>
      <c r="P675" s="11"/>
      <c r="Q675" s="11"/>
      <c r="S675" s="11"/>
      <c r="T675" s="11"/>
      <c r="U675" s="11"/>
      <c r="V675" s="11"/>
      <c r="X675" s="11"/>
    </row>
    <row r="676"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N676" s="11"/>
      <c r="O676" s="11"/>
      <c r="P676" s="11"/>
      <c r="Q676" s="11"/>
      <c r="S676" s="11"/>
      <c r="T676" s="11"/>
      <c r="U676" s="11"/>
      <c r="V676" s="11"/>
      <c r="X676" s="11"/>
    </row>
    <row r="677"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N677" s="11"/>
      <c r="O677" s="11"/>
      <c r="P677" s="11"/>
      <c r="Q677" s="11"/>
      <c r="S677" s="11"/>
      <c r="T677" s="11"/>
      <c r="U677" s="11"/>
      <c r="V677" s="11"/>
      <c r="X677" s="11"/>
    </row>
    <row r="678"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N678" s="11"/>
      <c r="O678" s="11"/>
      <c r="P678" s="11"/>
      <c r="Q678" s="11"/>
      <c r="S678" s="11"/>
      <c r="T678" s="11"/>
      <c r="U678" s="11"/>
      <c r="V678" s="11"/>
      <c r="X678" s="11"/>
    </row>
    <row r="679"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N679" s="11"/>
      <c r="O679" s="11"/>
      <c r="P679" s="11"/>
      <c r="Q679" s="11"/>
      <c r="S679" s="11"/>
      <c r="T679" s="11"/>
      <c r="U679" s="11"/>
      <c r="V679" s="11"/>
      <c r="X679" s="11"/>
    </row>
    <row r="680"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N680" s="11"/>
      <c r="O680" s="11"/>
      <c r="P680" s="11"/>
      <c r="Q680" s="11"/>
      <c r="S680" s="11"/>
      <c r="T680" s="11"/>
      <c r="U680" s="11"/>
      <c r="V680" s="11"/>
      <c r="X680" s="11"/>
    </row>
    <row r="681"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N681" s="11"/>
      <c r="O681" s="11"/>
      <c r="P681" s="11"/>
      <c r="Q681" s="11"/>
      <c r="S681" s="11"/>
      <c r="T681" s="11"/>
      <c r="U681" s="11"/>
      <c r="V681" s="11"/>
      <c r="X681" s="11"/>
    </row>
    <row r="682"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N682" s="11"/>
      <c r="O682" s="11"/>
      <c r="P682" s="11"/>
      <c r="Q682" s="11"/>
      <c r="S682" s="11"/>
      <c r="T682" s="11"/>
      <c r="U682" s="11"/>
      <c r="V682" s="11"/>
      <c r="X682" s="11"/>
    </row>
    <row r="683"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N683" s="11"/>
      <c r="O683" s="11"/>
      <c r="P683" s="11"/>
      <c r="Q683" s="11"/>
      <c r="S683" s="11"/>
      <c r="T683" s="11"/>
      <c r="U683" s="11"/>
      <c r="V683" s="11"/>
      <c r="X683" s="11"/>
    </row>
    <row r="684"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N684" s="11"/>
      <c r="O684" s="11"/>
      <c r="P684" s="11"/>
      <c r="Q684" s="11"/>
      <c r="S684" s="11"/>
      <c r="T684" s="11"/>
      <c r="U684" s="11"/>
      <c r="V684" s="11"/>
      <c r="X684" s="11"/>
    </row>
    <row r="685"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N685" s="11"/>
      <c r="O685" s="11"/>
      <c r="P685" s="11"/>
      <c r="Q685" s="11"/>
      <c r="S685" s="11"/>
      <c r="T685" s="11"/>
      <c r="U685" s="11"/>
      <c r="V685" s="11"/>
      <c r="X685" s="11"/>
    </row>
    <row r="686"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N686" s="11"/>
      <c r="O686" s="11"/>
      <c r="P686" s="11"/>
      <c r="Q686" s="11"/>
      <c r="S686" s="11"/>
      <c r="T686" s="11"/>
      <c r="U686" s="11"/>
      <c r="V686" s="11"/>
      <c r="X686" s="11"/>
    </row>
    <row r="687"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N687" s="11"/>
      <c r="O687" s="11"/>
      <c r="P687" s="11"/>
      <c r="Q687" s="11"/>
      <c r="S687" s="11"/>
      <c r="T687" s="11"/>
      <c r="U687" s="11"/>
      <c r="V687" s="11"/>
      <c r="X687" s="11"/>
    </row>
    <row r="688"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N688" s="11"/>
      <c r="O688" s="11"/>
      <c r="P688" s="11"/>
      <c r="Q688" s="11"/>
      <c r="S688" s="11"/>
      <c r="T688" s="11"/>
      <c r="U688" s="11"/>
      <c r="V688" s="11"/>
      <c r="X688" s="11"/>
    </row>
    <row r="689"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N689" s="11"/>
      <c r="O689" s="11"/>
      <c r="P689" s="11"/>
      <c r="Q689" s="11"/>
      <c r="S689" s="11"/>
      <c r="T689" s="11"/>
      <c r="U689" s="11"/>
      <c r="V689" s="11"/>
      <c r="X689" s="11"/>
    </row>
    <row r="690"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N690" s="11"/>
      <c r="O690" s="11"/>
      <c r="P690" s="11"/>
      <c r="Q690" s="11"/>
      <c r="S690" s="11"/>
      <c r="T690" s="11"/>
      <c r="U690" s="11"/>
      <c r="V690" s="11"/>
      <c r="X690" s="11"/>
    </row>
    <row r="691"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N691" s="11"/>
      <c r="O691" s="11"/>
      <c r="P691" s="11"/>
      <c r="Q691" s="11"/>
      <c r="S691" s="11"/>
      <c r="T691" s="11"/>
      <c r="U691" s="11"/>
      <c r="V691" s="11"/>
      <c r="X691" s="11"/>
    </row>
    <row r="692"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N692" s="11"/>
      <c r="O692" s="11"/>
      <c r="P692" s="11"/>
      <c r="Q692" s="11"/>
      <c r="S692" s="11"/>
      <c r="T692" s="11"/>
      <c r="U692" s="11"/>
      <c r="V692" s="11"/>
      <c r="X692" s="11"/>
    </row>
    <row r="693"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N693" s="11"/>
      <c r="O693" s="11"/>
      <c r="P693" s="11"/>
      <c r="Q693" s="11"/>
      <c r="S693" s="11"/>
      <c r="T693" s="11"/>
      <c r="U693" s="11"/>
      <c r="V693" s="11"/>
      <c r="X693" s="11"/>
    </row>
    <row r="694"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N694" s="11"/>
      <c r="O694" s="11"/>
      <c r="P694" s="11"/>
      <c r="Q694" s="11"/>
      <c r="S694" s="11"/>
      <c r="T694" s="11"/>
      <c r="U694" s="11"/>
      <c r="V694" s="11"/>
      <c r="X694" s="11"/>
    </row>
    <row r="695"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N695" s="11"/>
      <c r="O695" s="11"/>
      <c r="P695" s="11"/>
      <c r="Q695" s="11"/>
      <c r="S695" s="11"/>
      <c r="T695" s="11"/>
      <c r="U695" s="11"/>
      <c r="V695" s="11"/>
      <c r="X695" s="11"/>
    </row>
    <row r="696"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N696" s="11"/>
      <c r="O696" s="11"/>
      <c r="P696" s="11"/>
      <c r="Q696" s="11"/>
      <c r="S696" s="11"/>
      <c r="T696" s="11"/>
      <c r="U696" s="11"/>
      <c r="V696" s="11"/>
      <c r="X696" s="11"/>
    </row>
    <row r="697"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N697" s="11"/>
      <c r="O697" s="11"/>
      <c r="P697" s="11"/>
      <c r="Q697" s="11"/>
      <c r="S697" s="11"/>
      <c r="T697" s="11"/>
      <c r="U697" s="11"/>
      <c r="V697" s="11"/>
      <c r="X697" s="11"/>
    </row>
    <row r="698"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N698" s="11"/>
      <c r="O698" s="11"/>
      <c r="P698" s="11"/>
      <c r="Q698" s="11"/>
      <c r="S698" s="11"/>
      <c r="T698" s="11"/>
      <c r="U698" s="11"/>
      <c r="V698" s="11"/>
      <c r="X698" s="11"/>
    </row>
    <row r="699"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N699" s="11"/>
      <c r="O699" s="11"/>
      <c r="P699" s="11"/>
      <c r="Q699" s="11"/>
      <c r="S699" s="11"/>
      <c r="T699" s="11"/>
      <c r="U699" s="11"/>
      <c r="V699" s="11"/>
      <c r="X699" s="11"/>
    </row>
    <row r="700"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N700" s="11"/>
      <c r="O700" s="11"/>
      <c r="P700" s="11"/>
      <c r="Q700" s="11"/>
      <c r="S700" s="11"/>
      <c r="T700" s="11"/>
      <c r="U700" s="11"/>
      <c r="V700" s="11"/>
      <c r="X700" s="11"/>
    </row>
    <row r="701"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N701" s="11"/>
      <c r="O701" s="11"/>
      <c r="P701" s="11"/>
      <c r="Q701" s="11"/>
      <c r="S701" s="11"/>
      <c r="T701" s="11"/>
      <c r="U701" s="11"/>
      <c r="V701" s="11"/>
      <c r="X701" s="11"/>
    </row>
    <row r="702"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N702" s="11"/>
      <c r="O702" s="11"/>
      <c r="P702" s="11"/>
      <c r="Q702" s="11"/>
      <c r="S702" s="11"/>
      <c r="T702" s="11"/>
      <c r="U702" s="11"/>
      <c r="V702" s="11"/>
      <c r="X702" s="11"/>
    </row>
    <row r="703"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N703" s="11"/>
      <c r="O703" s="11"/>
      <c r="P703" s="11"/>
      <c r="Q703" s="11"/>
      <c r="S703" s="11"/>
      <c r="T703" s="11"/>
      <c r="U703" s="11"/>
      <c r="V703" s="11"/>
      <c r="X703" s="11"/>
    </row>
    <row r="704"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N704" s="11"/>
      <c r="O704" s="11"/>
      <c r="P704" s="11"/>
      <c r="Q704" s="11"/>
      <c r="S704" s="11"/>
      <c r="T704" s="11"/>
      <c r="U704" s="11"/>
      <c r="V704" s="11"/>
      <c r="X704" s="11"/>
    </row>
    <row r="705"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N705" s="11"/>
      <c r="O705" s="11"/>
      <c r="P705" s="11"/>
      <c r="Q705" s="11"/>
      <c r="S705" s="11"/>
      <c r="T705" s="11"/>
      <c r="U705" s="11"/>
      <c r="V705" s="11"/>
      <c r="X705" s="11"/>
    </row>
    <row r="706"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N706" s="11"/>
      <c r="O706" s="11"/>
      <c r="P706" s="11"/>
      <c r="Q706" s="11"/>
      <c r="S706" s="11"/>
      <c r="T706" s="11"/>
      <c r="U706" s="11"/>
      <c r="V706" s="11"/>
      <c r="X706" s="11"/>
    </row>
    <row r="707"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N707" s="11"/>
      <c r="O707" s="11"/>
      <c r="P707" s="11"/>
      <c r="Q707" s="11"/>
      <c r="S707" s="11"/>
      <c r="T707" s="11"/>
      <c r="U707" s="11"/>
      <c r="V707" s="11"/>
      <c r="X707" s="11"/>
    </row>
    <row r="708"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N708" s="11"/>
      <c r="O708" s="11"/>
      <c r="P708" s="11"/>
      <c r="Q708" s="11"/>
      <c r="S708" s="11"/>
      <c r="T708" s="11"/>
      <c r="U708" s="11"/>
      <c r="V708" s="11"/>
      <c r="X708" s="11"/>
    </row>
    <row r="709"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N709" s="11"/>
      <c r="O709" s="11"/>
      <c r="P709" s="11"/>
      <c r="Q709" s="11"/>
      <c r="S709" s="11"/>
      <c r="T709" s="11"/>
      <c r="U709" s="11"/>
      <c r="V709" s="11"/>
      <c r="X709" s="11"/>
    </row>
    <row r="710"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N710" s="11"/>
      <c r="O710" s="11"/>
      <c r="P710" s="11"/>
      <c r="Q710" s="11"/>
      <c r="S710" s="11"/>
      <c r="T710" s="11"/>
      <c r="U710" s="11"/>
      <c r="V710" s="11"/>
      <c r="X710" s="11"/>
    </row>
    <row r="711"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N711" s="11"/>
      <c r="O711" s="11"/>
      <c r="P711" s="11"/>
      <c r="Q711" s="11"/>
      <c r="S711" s="11"/>
      <c r="T711" s="11"/>
      <c r="U711" s="11"/>
      <c r="V711" s="11"/>
      <c r="X711" s="11"/>
    </row>
    <row r="712"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N712" s="11"/>
      <c r="O712" s="11"/>
      <c r="P712" s="11"/>
      <c r="Q712" s="11"/>
      <c r="S712" s="11"/>
      <c r="T712" s="11"/>
      <c r="U712" s="11"/>
      <c r="V712" s="11"/>
      <c r="X712" s="11"/>
    </row>
    <row r="713"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N713" s="11"/>
      <c r="O713" s="11"/>
      <c r="P713" s="11"/>
      <c r="Q713" s="11"/>
      <c r="S713" s="11"/>
      <c r="T713" s="11"/>
      <c r="U713" s="11"/>
      <c r="V713" s="11"/>
      <c r="X713" s="11"/>
    </row>
    <row r="714"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N714" s="11"/>
      <c r="O714" s="11"/>
      <c r="P714" s="11"/>
      <c r="Q714" s="11"/>
      <c r="S714" s="11"/>
      <c r="T714" s="11"/>
      <c r="U714" s="11"/>
      <c r="V714" s="11"/>
      <c r="X714" s="11"/>
    </row>
    <row r="715"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N715" s="11"/>
      <c r="O715" s="11"/>
      <c r="P715" s="11"/>
      <c r="Q715" s="11"/>
      <c r="S715" s="11"/>
      <c r="T715" s="11"/>
      <c r="U715" s="11"/>
      <c r="V715" s="11"/>
      <c r="X715" s="11"/>
    </row>
    <row r="716"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N716" s="11"/>
      <c r="O716" s="11"/>
      <c r="P716" s="11"/>
      <c r="Q716" s="11"/>
      <c r="S716" s="11"/>
      <c r="T716" s="11"/>
      <c r="U716" s="11"/>
      <c r="V716" s="11"/>
      <c r="X716" s="11"/>
    </row>
    <row r="717"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N717" s="11"/>
      <c r="O717" s="11"/>
      <c r="P717" s="11"/>
      <c r="Q717" s="11"/>
      <c r="S717" s="11"/>
      <c r="T717" s="11"/>
      <c r="U717" s="11"/>
      <c r="V717" s="11"/>
      <c r="X717" s="11"/>
    </row>
    <row r="718"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N718" s="11"/>
      <c r="O718" s="11"/>
      <c r="P718" s="11"/>
      <c r="Q718" s="11"/>
      <c r="S718" s="11"/>
      <c r="T718" s="11"/>
      <c r="U718" s="11"/>
      <c r="V718" s="11"/>
      <c r="X718" s="11"/>
    </row>
    <row r="719"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N719" s="11"/>
      <c r="O719" s="11"/>
      <c r="P719" s="11"/>
      <c r="Q719" s="11"/>
      <c r="S719" s="11"/>
      <c r="T719" s="11"/>
      <c r="U719" s="11"/>
      <c r="V719" s="11"/>
      <c r="X719" s="11"/>
    </row>
    <row r="720"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N720" s="11"/>
      <c r="O720" s="11"/>
      <c r="P720" s="11"/>
      <c r="Q720" s="11"/>
      <c r="S720" s="11"/>
      <c r="T720" s="11"/>
      <c r="U720" s="11"/>
      <c r="V720" s="11"/>
      <c r="X720" s="11"/>
    </row>
    <row r="721"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N721" s="11"/>
      <c r="O721" s="11"/>
      <c r="P721" s="11"/>
      <c r="Q721" s="11"/>
      <c r="S721" s="11"/>
      <c r="T721" s="11"/>
      <c r="U721" s="11"/>
      <c r="V721" s="11"/>
      <c r="X721" s="11"/>
    </row>
    <row r="722"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N722" s="11"/>
      <c r="O722" s="11"/>
      <c r="P722" s="11"/>
      <c r="Q722" s="11"/>
      <c r="S722" s="11"/>
      <c r="T722" s="11"/>
      <c r="U722" s="11"/>
      <c r="V722" s="11"/>
      <c r="X722" s="11"/>
    </row>
    <row r="723"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N723" s="11"/>
      <c r="O723" s="11"/>
      <c r="P723" s="11"/>
      <c r="Q723" s="11"/>
      <c r="S723" s="11"/>
      <c r="T723" s="11"/>
      <c r="U723" s="11"/>
      <c r="V723" s="11"/>
      <c r="X723" s="11"/>
    </row>
    <row r="724"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N724" s="11"/>
      <c r="O724" s="11"/>
      <c r="P724" s="11"/>
      <c r="Q724" s="11"/>
      <c r="S724" s="11"/>
      <c r="T724" s="11"/>
      <c r="U724" s="11"/>
      <c r="V724" s="11"/>
      <c r="X724" s="11"/>
    </row>
    <row r="725"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N725" s="11"/>
      <c r="O725" s="11"/>
      <c r="P725" s="11"/>
      <c r="Q725" s="11"/>
      <c r="S725" s="11"/>
      <c r="T725" s="11"/>
      <c r="U725" s="11"/>
      <c r="V725" s="11"/>
      <c r="X725" s="11"/>
    </row>
    <row r="726"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N726" s="11"/>
      <c r="O726" s="11"/>
      <c r="P726" s="11"/>
      <c r="Q726" s="11"/>
      <c r="S726" s="11"/>
      <c r="T726" s="11"/>
      <c r="U726" s="11"/>
      <c r="V726" s="11"/>
      <c r="X726" s="11"/>
    </row>
    <row r="727"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N727" s="11"/>
      <c r="O727" s="11"/>
      <c r="P727" s="11"/>
      <c r="Q727" s="11"/>
      <c r="S727" s="11"/>
      <c r="T727" s="11"/>
      <c r="U727" s="11"/>
      <c r="V727" s="11"/>
      <c r="X727" s="11"/>
    </row>
    <row r="728"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N728" s="11"/>
      <c r="O728" s="11"/>
      <c r="P728" s="11"/>
      <c r="Q728" s="11"/>
      <c r="S728" s="11"/>
      <c r="T728" s="11"/>
      <c r="U728" s="11"/>
      <c r="V728" s="11"/>
      <c r="X728" s="11"/>
    </row>
    <row r="729"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N729" s="11"/>
      <c r="O729" s="11"/>
      <c r="P729" s="11"/>
      <c r="Q729" s="11"/>
      <c r="S729" s="11"/>
      <c r="T729" s="11"/>
      <c r="U729" s="11"/>
      <c r="V729" s="11"/>
      <c r="X729" s="11"/>
    </row>
    <row r="730"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N730" s="11"/>
      <c r="O730" s="11"/>
      <c r="P730" s="11"/>
      <c r="Q730" s="11"/>
      <c r="S730" s="11"/>
      <c r="T730" s="11"/>
      <c r="U730" s="11"/>
      <c r="V730" s="11"/>
      <c r="X730" s="11"/>
    </row>
    <row r="731"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N731" s="11"/>
      <c r="O731" s="11"/>
      <c r="P731" s="11"/>
      <c r="Q731" s="11"/>
      <c r="S731" s="11"/>
      <c r="T731" s="11"/>
      <c r="U731" s="11"/>
      <c r="V731" s="11"/>
      <c r="X731" s="11"/>
    </row>
    <row r="732"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N732" s="11"/>
      <c r="O732" s="11"/>
      <c r="P732" s="11"/>
      <c r="Q732" s="11"/>
      <c r="S732" s="11"/>
      <c r="T732" s="11"/>
      <c r="U732" s="11"/>
      <c r="V732" s="11"/>
      <c r="X732" s="11"/>
    </row>
    <row r="733"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N733" s="11"/>
      <c r="O733" s="11"/>
      <c r="P733" s="11"/>
      <c r="Q733" s="11"/>
      <c r="S733" s="11"/>
      <c r="T733" s="11"/>
      <c r="U733" s="11"/>
      <c r="V733" s="11"/>
      <c r="X733" s="11"/>
    </row>
    <row r="734"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N734" s="11"/>
      <c r="O734" s="11"/>
      <c r="P734" s="11"/>
      <c r="Q734" s="11"/>
      <c r="S734" s="11"/>
      <c r="T734" s="11"/>
      <c r="U734" s="11"/>
      <c r="V734" s="11"/>
      <c r="X734" s="11"/>
    </row>
    <row r="735"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N735" s="11"/>
      <c r="O735" s="11"/>
      <c r="P735" s="11"/>
      <c r="Q735" s="11"/>
      <c r="S735" s="11"/>
      <c r="T735" s="11"/>
      <c r="U735" s="11"/>
      <c r="V735" s="11"/>
      <c r="X735" s="11"/>
    </row>
    <row r="736"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N736" s="11"/>
      <c r="O736" s="11"/>
      <c r="P736" s="11"/>
      <c r="Q736" s="11"/>
      <c r="S736" s="11"/>
      <c r="T736" s="11"/>
      <c r="U736" s="11"/>
      <c r="V736" s="11"/>
      <c r="X736" s="11"/>
    </row>
    <row r="737"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N737" s="11"/>
      <c r="O737" s="11"/>
      <c r="P737" s="11"/>
      <c r="Q737" s="11"/>
      <c r="S737" s="11"/>
      <c r="T737" s="11"/>
      <c r="U737" s="11"/>
      <c r="V737" s="11"/>
      <c r="X737" s="11"/>
    </row>
    <row r="738"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N738" s="11"/>
      <c r="O738" s="11"/>
      <c r="P738" s="11"/>
      <c r="Q738" s="11"/>
      <c r="S738" s="11"/>
      <c r="T738" s="11"/>
      <c r="U738" s="11"/>
      <c r="V738" s="11"/>
      <c r="X738" s="11"/>
    </row>
    <row r="739"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N739" s="11"/>
      <c r="O739" s="11"/>
      <c r="P739" s="11"/>
      <c r="Q739" s="11"/>
      <c r="S739" s="11"/>
      <c r="T739" s="11"/>
      <c r="U739" s="11"/>
      <c r="V739" s="11"/>
      <c r="X739" s="11"/>
    </row>
    <row r="740"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N740" s="11"/>
      <c r="O740" s="11"/>
      <c r="P740" s="11"/>
      <c r="Q740" s="11"/>
      <c r="S740" s="11"/>
      <c r="T740" s="11"/>
      <c r="U740" s="11"/>
      <c r="V740" s="11"/>
      <c r="X740" s="11"/>
    </row>
    <row r="741"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N741" s="11"/>
      <c r="O741" s="11"/>
      <c r="P741" s="11"/>
      <c r="Q741" s="11"/>
      <c r="S741" s="11"/>
      <c r="T741" s="11"/>
      <c r="U741" s="11"/>
      <c r="V741" s="11"/>
      <c r="X741" s="11"/>
    </row>
    <row r="742"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N742" s="11"/>
      <c r="O742" s="11"/>
      <c r="P742" s="11"/>
      <c r="Q742" s="11"/>
      <c r="S742" s="11"/>
      <c r="T742" s="11"/>
      <c r="U742" s="11"/>
      <c r="V742" s="11"/>
      <c r="X742" s="11"/>
    </row>
    <row r="743"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N743" s="11"/>
      <c r="O743" s="11"/>
      <c r="P743" s="11"/>
      <c r="Q743" s="11"/>
      <c r="S743" s="11"/>
      <c r="T743" s="11"/>
      <c r="U743" s="11"/>
      <c r="V743" s="11"/>
      <c r="X743" s="11"/>
    </row>
    <row r="744"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N744" s="11"/>
      <c r="O744" s="11"/>
      <c r="P744" s="11"/>
      <c r="Q744" s="11"/>
      <c r="S744" s="11"/>
      <c r="T744" s="11"/>
      <c r="U744" s="11"/>
      <c r="V744" s="11"/>
      <c r="X744" s="11"/>
    </row>
    <row r="745"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N745" s="11"/>
      <c r="O745" s="11"/>
      <c r="P745" s="11"/>
      <c r="Q745" s="11"/>
      <c r="S745" s="11"/>
      <c r="T745" s="11"/>
      <c r="U745" s="11"/>
      <c r="V745" s="11"/>
      <c r="X745" s="11"/>
    </row>
    <row r="746"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N746" s="11"/>
      <c r="O746" s="11"/>
      <c r="P746" s="11"/>
      <c r="Q746" s="11"/>
      <c r="S746" s="11"/>
      <c r="T746" s="11"/>
      <c r="U746" s="11"/>
      <c r="V746" s="11"/>
      <c r="X746" s="11"/>
    </row>
    <row r="747"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N747" s="11"/>
      <c r="O747" s="11"/>
      <c r="P747" s="11"/>
      <c r="Q747" s="11"/>
      <c r="S747" s="11"/>
      <c r="T747" s="11"/>
      <c r="U747" s="11"/>
      <c r="V747" s="11"/>
      <c r="X747" s="11"/>
    </row>
    <row r="748"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N748" s="11"/>
      <c r="O748" s="11"/>
      <c r="P748" s="11"/>
      <c r="Q748" s="11"/>
      <c r="S748" s="11"/>
      <c r="T748" s="11"/>
      <c r="U748" s="11"/>
      <c r="V748" s="11"/>
      <c r="X748" s="11"/>
    </row>
    <row r="749"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N749" s="11"/>
      <c r="O749" s="11"/>
      <c r="P749" s="11"/>
      <c r="Q749" s="11"/>
      <c r="S749" s="11"/>
      <c r="T749" s="11"/>
      <c r="U749" s="11"/>
      <c r="V749" s="11"/>
      <c r="X749" s="11"/>
    </row>
    <row r="750"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N750" s="11"/>
      <c r="O750" s="11"/>
      <c r="P750" s="11"/>
      <c r="Q750" s="11"/>
      <c r="S750" s="11"/>
      <c r="T750" s="11"/>
      <c r="U750" s="11"/>
      <c r="V750" s="11"/>
      <c r="X750" s="11"/>
    </row>
    <row r="751"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N751" s="11"/>
      <c r="O751" s="11"/>
      <c r="P751" s="11"/>
      <c r="Q751" s="11"/>
      <c r="S751" s="11"/>
      <c r="T751" s="11"/>
      <c r="U751" s="11"/>
      <c r="V751" s="11"/>
      <c r="X751" s="11"/>
    </row>
    <row r="752"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N752" s="11"/>
      <c r="O752" s="11"/>
      <c r="P752" s="11"/>
      <c r="Q752" s="11"/>
      <c r="S752" s="11"/>
      <c r="T752" s="11"/>
      <c r="U752" s="11"/>
      <c r="V752" s="11"/>
      <c r="X752" s="11"/>
    </row>
    <row r="753"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N753" s="11"/>
      <c r="O753" s="11"/>
      <c r="P753" s="11"/>
      <c r="Q753" s="11"/>
      <c r="S753" s="11"/>
      <c r="T753" s="11"/>
      <c r="U753" s="11"/>
      <c r="V753" s="11"/>
      <c r="X753" s="11"/>
    </row>
    <row r="754"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N754" s="11"/>
      <c r="O754" s="11"/>
      <c r="P754" s="11"/>
      <c r="Q754" s="11"/>
      <c r="S754" s="11"/>
      <c r="T754" s="11"/>
      <c r="U754" s="11"/>
      <c r="V754" s="11"/>
      <c r="X754" s="11"/>
    </row>
    <row r="755"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N755" s="11"/>
      <c r="O755" s="11"/>
      <c r="P755" s="11"/>
      <c r="Q755" s="11"/>
      <c r="S755" s="11"/>
      <c r="T755" s="11"/>
      <c r="U755" s="11"/>
      <c r="V755" s="11"/>
      <c r="X755" s="11"/>
    </row>
    <row r="756"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N756" s="11"/>
      <c r="O756" s="11"/>
      <c r="P756" s="11"/>
      <c r="Q756" s="11"/>
      <c r="S756" s="11"/>
      <c r="T756" s="11"/>
      <c r="U756" s="11"/>
      <c r="V756" s="11"/>
      <c r="X756" s="11"/>
    </row>
    <row r="757"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N757" s="11"/>
      <c r="O757" s="11"/>
      <c r="P757" s="11"/>
      <c r="Q757" s="11"/>
      <c r="S757" s="11"/>
      <c r="T757" s="11"/>
      <c r="U757" s="11"/>
      <c r="V757" s="11"/>
      <c r="X757" s="11"/>
    </row>
    <row r="758"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N758" s="11"/>
      <c r="O758" s="11"/>
      <c r="P758" s="11"/>
      <c r="Q758" s="11"/>
      <c r="S758" s="11"/>
      <c r="T758" s="11"/>
      <c r="U758" s="11"/>
      <c r="V758" s="11"/>
      <c r="X758" s="11"/>
    </row>
    <row r="759"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N759" s="11"/>
      <c r="O759" s="11"/>
      <c r="P759" s="11"/>
      <c r="Q759" s="11"/>
      <c r="S759" s="11"/>
      <c r="T759" s="11"/>
      <c r="U759" s="11"/>
      <c r="V759" s="11"/>
      <c r="X759" s="11"/>
    </row>
    <row r="760"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N760" s="11"/>
      <c r="O760" s="11"/>
      <c r="P760" s="11"/>
      <c r="Q760" s="11"/>
      <c r="S760" s="11"/>
      <c r="T760" s="11"/>
      <c r="U760" s="11"/>
      <c r="V760" s="11"/>
      <c r="X760" s="11"/>
    </row>
    <row r="761"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N761" s="11"/>
      <c r="O761" s="11"/>
      <c r="P761" s="11"/>
      <c r="Q761" s="11"/>
      <c r="S761" s="11"/>
      <c r="T761" s="11"/>
      <c r="U761" s="11"/>
      <c r="V761" s="11"/>
      <c r="X761" s="11"/>
    </row>
    <row r="762"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N762" s="11"/>
      <c r="O762" s="11"/>
      <c r="P762" s="11"/>
      <c r="Q762" s="11"/>
      <c r="S762" s="11"/>
      <c r="T762" s="11"/>
      <c r="U762" s="11"/>
      <c r="V762" s="11"/>
      <c r="X762" s="11"/>
    </row>
    <row r="763"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N763" s="11"/>
      <c r="O763" s="11"/>
      <c r="P763" s="11"/>
      <c r="Q763" s="11"/>
      <c r="S763" s="11"/>
      <c r="T763" s="11"/>
      <c r="U763" s="11"/>
      <c r="V763" s="11"/>
      <c r="X763" s="11"/>
    </row>
    <row r="764"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N764" s="11"/>
      <c r="O764" s="11"/>
      <c r="P764" s="11"/>
      <c r="Q764" s="11"/>
      <c r="S764" s="11"/>
      <c r="T764" s="11"/>
      <c r="U764" s="11"/>
      <c r="V764" s="11"/>
      <c r="X764" s="11"/>
    </row>
    <row r="765"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N765" s="11"/>
      <c r="O765" s="11"/>
      <c r="P765" s="11"/>
      <c r="Q765" s="11"/>
      <c r="S765" s="11"/>
      <c r="T765" s="11"/>
      <c r="U765" s="11"/>
      <c r="V765" s="11"/>
      <c r="X765" s="11"/>
    </row>
    <row r="766"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N766" s="11"/>
      <c r="O766" s="11"/>
      <c r="P766" s="11"/>
      <c r="Q766" s="11"/>
      <c r="S766" s="11"/>
      <c r="T766" s="11"/>
      <c r="U766" s="11"/>
      <c r="V766" s="11"/>
      <c r="X766" s="11"/>
    </row>
    <row r="767"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N767" s="11"/>
      <c r="O767" s="11"/>
      <c r="P767" s="11"/>
      <c r="Q767" s="11"/>
      <c r="S767" s="11"/>
      <c r="T767" s="11"/>
      <c r="U767" s="11"/>
      <c r="V767" s="11"/>
      <c r="X767" s="11"/>
    </row>
    <row r="768"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N768" s="11"/>
      <c r="O768" s="11"/>
      <c r="P768" s="11"/>
      <c r="Q768" s="11"/>
      <c r="S768" s="11"/>
      <c r="T768" s="11"/>
      <c r="U768" s="11"/>
      <c r="V768" s="11"/>
      <c r="X768" s="11"/>
    </row>
    <row r="769"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N769" s="11"/>
      <c r="O769" s="11"/>
      <c r="P769" s="11"/>
      <c r="Q769" s="11"/>
      <c r="S769" s="11"/>
      <c r="T769" s="11"/>
      <c r="U769" s="11"/>
      <c r="V769" s="11"/>
      <c r="X769" s="11"/>
    </row>
    <row r="770"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N770" s="11"/>
      <c r="O770" s="11"/>
      <c r="P770" s="11"/>
      <c r="Q770" s="11"/>
      <c r="S770" s="11"/>
      <c r="T770" s="11"/>
      <c r="U770" s="11"/>
      <c r="V770" s="11"/>
      <c r="X770" s="11"/>
    </row>
    <row r="771"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N771" s="11"/>
      <c r="O771" s="11"/>
      <c r="P771" s="11"/>
      <c r="Q771" s="11"/>
      <c r="S771" s="11"/>
      <c r="T771" s="11"/>
      <c r="U771" s="11"/>
      <c r="V771" s="11"/>
      <c r="X771" s="11"/>
    </row>
    <row r="772"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N772" s="11"/>
      <c r="O772" s="11"/>
      <c r="P772" s="11"/>
      <c r="Q772" s="11"/>
      <c r="S772" s="11"/>
      <c r="T772" s="11"/>
      <c r="U772" s="11"/>
      <c r="V772" s="11"/>
      <c r="X772" s="11"/>
    </row>
    <row r="773"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N773" s="11"/>
      <c r="O773" s="11"/>
      <c r="P773" s="11"/>
      <c r="Q773" s="11"/>
      <c r="S773" s="11"/>
      <c r="T773" s="11"/>
      <c r="U773" s="11"/>
      <c r="V773" s="11"/>
      <c r="X773" s="11"/>
    </row>
    <row r="774"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N774" s="11"/>
      <c r="O774" s="11"/>
      <c r="P774" s="11"/>
      <c r="Q774" s="11"/>
      <c r="S774" s="11"/>
      <c r="T774" s="11"/>
      <c r="U774" s="11"/>
      <c r="V774" s="11"/>
      <c r="X774" s="11"/>
    </row>
    <row r="775"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N775" s="11"/>
      <c r="O775" s="11"/>
      <c r="P775" s="11"/>
      <c r="Q775" s="11"/>
      <c r="S775" s="11"/>
      <c r="T775" s="11"/>
      <c r="U775" s="11"/>
      <c r="V775" s="11"/>
      <c r="X775" s="11"/>
    </row>
    <row r="776"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N776" s="11"/>
      <c r="O776" s="11"/>
      <c r="P776" s="11"/>
      <c r="Q776" s="11"/>
      <c r="S776" s="11"/>
      <c r="T776" s="11"/>
      <c r="U776" s="11"/>
      <c r="V776" s="11"/>
      <c r="X776" s="11"/>
    </row>
    <row r="777"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N777" s="11"/>
      <c r="O777" s="11"/>
      <c r="P777" s="11"/>
      <c r="Q777" s="11"/>
      <c r="S777" s="11"/>
      <c r="T777" s="11"/>
      <c r="U777" s="11"/>
      <c r="V777" s="11"/>
      <c r="X777" s="11"/>
    </row>
    <row r="778"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N778" s="11"/>
      <c r="O778" s="11"/>
      <c r="P778" s="11"/>
      <c r="Q778" s="11"/>
      <c r="S778" s="11"/>
      <c r="T778" s="11"/>
      <c r="U778" s="11"/>
      <c r="V778" s="11"/>
      <c r="X778" s="11"/>
    </row>
    <row r="779"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N779" s="11"/>
      <c r="O779" s="11"/>
      <c r="P779" s="11"/>
      <c r="Q779" s="11"/>
      <c r="S779" s="11"/>
      <c r="T779" s="11"/>
      <c r="U779" s="11"/>
      <c r="V779" s="11"/>
      <c r="X779" s="11"/>
    </row>
    <row r="780"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N780" s="11"/>
      <c r="O780" s="11"/>
      <c r="P780" s="11"/>
      <c r="Q780" s="11"/>
      <c r="S780" s="11"/>
      <c r="T780" s="11"/>
      <c r="U780" s="11"/>
      <c r="V780" s="11"/>
      <c r="X780" s="11"/>
    </row>
    <row r="781"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N781" s="11"/>
      <c r="O781" s="11"/>
      <c r="P781" s="11"/>
      <c r="Q781" s="11"/>
      <c r="S781" s="11"/>
      <c r="T781" s="11"/>
      <c r="U781" s="11"/>
      <c r="V781" s="11"/>
      <c r="X781" s="11"/>
    </row>
    <row r="782"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N782" s="11"/>
      <c r="O782" s="11"/>
      <c r="P782" s="11"/>
      <c r="Q782" s="11"/>
      <c r="S782" s="11"/>
      <c r="T782" s="11"/>
      <c r="U782" s="11"/>
      <c r="V782" s="11"/>
      <c r="X782" s="11"/>
    </row>
    <row r="783"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N783" s="11"/>
      <c r="O783" s="11"/>
      <c r="P783" s="11"/>
      <c r="Q783" s="11"/>
      <c r="S783" s="11"/>
      <c r="T783" s="11"/>
      <c r="U783" s="11"/>
      <c r="V783" s="11"/>
      <c r="X783" s="11"/>
    </row>
    <row r="784"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N784" s="11"/>
      <c r="O784" s="11"/>
      <c r="P784" s="11"/>
      <c r="Q784" s="11"/>
      <c r="S784" s="11"/>
      <c r="T784" s="11"/>
      <c r="U784" s="11"/>
      <c r="V784" s="11"/>
      <c r="X784" s="11"/>
    </row>
    <row r="785"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N785" s="11"/>
      <c r="O785" s="11"/>
      <c r="P785" s="11"/>
      <c r="Q785" s="11"/>
      <c r="S785" s="11"/>
      <c r="T785" s="11"/>
      <c r="U785" s="11"/>
      <c r="V785" s="11"/>
      <c r="X785" s="11"/>
    </row>
    <row r="786"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N786" s="11"/>
      <c r="O786" s="11"/>
      <c r="P786" s="11"/>
      <c r="Q786" s="11"/>
      <c r="S786" s="11"/>
      <c r="T786" s="11"/>
      <c r="U786" s="11"/>
      <c r="V786" s="11"/>
      <c r="X786" s="11"/>
    </row>
    <row r="787"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N787" s="11"/>
      <c r="O787" s="11"/>
      <c r="P787" s="11"/>
      <c r="Q787" s="11"/>
      <c r="S787" s="11"/>
      <c r="T787" s="11"/>
      <c r="U787" s="11"/>
      <c r="V787" s="11"/>
      <c r="X787" s="11"/>
    </row>
    <row r="788"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N788" s="11"/>
      <c r="O788" s="11"/>
      <c r="P788" s="11"/>
      <c r="Q788" s="11"/>
      <c r="S788" s="11"/>
      <c r="T788" s="11"/>
      <c r="U788" s="11"/>
      <c r="V788" s="11"/>
      <c r="X788" s="11"/>
    </row>
    <row r="789"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N789" s="11"/>
      <c r="O789" s="11"/>
      <c r="P789" s="11"/>
      <c r="Q789" s="11"/>
      <c r="S789" s="11"/>
      <c r="T789" s="11"/>
      <c r="U789" s="11"/>
      <c r="V789" s="11"/>
      <c r="X789" s="11"/>
    </row>
    <row r="790"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N790" s="11"/>
      <c r="O790" s="11"/>
      <c r="P790" s="11"/>
      <c r="Q790" s="11"/>
      <c r="S790" s="11"/>
      <c r="T790" s="11"/>
      <c r="U790" s="11"/>
      <c r="V790" s="11"/>
      <c r="X790" s="11"/>
    </row>
    <row r="791"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N791" s="11"/>
      <c r="O791" s="11"/>
      <c r="P791" s="11"/>
      <c r="Q791" s="11"/>
      <c r="S791" s="11"/>
      <c r="T791" s="11"/>
      <c r="U791" s="11"/>
      <c r="V791" s="11"/>
      <c r="X791" s="11"/>
    </row>
    <row r="792"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N792" s="11"/>
      <c r="O792" s="11"/>
      <c r="P792" s="11"/>
      <c r="Q792" s="11"/>
      <c r="S792" s="11"/>
      <c r="T792" s="11"/>
      <c r="U792" s="11"/>
      <c r="V792" s="11"/>
      <c r="X792" s="11"/>
    </row>
    <row r="793"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N793" s="11"/>
      <c r="O793" s="11"/>
      <c r="P793" s="11"/>
      <c r="Q793" s="11"/>
      <c r="S793" s="11"/>
      <c r="T793" s="11"/>
      <c r="U793" s="11"/>
      <c r="V793" s="11"/>
      <c r="X793" s="11"/>
    </row>
    <row r="794"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N794" s="11"/>
      <c r="O794" s="11"/>
      <c r="P794" s="11"/>
      <c r="Q794" s="11"/>
      <c r="S794" s="11"/>
      <c r="T794" s="11"/>
      <c r="U794" s="11"/>
      <c r="V794" s="11"/>
      <c r="X794" s="11"/>
    </row>
    <row r="795"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N795" s="11"/>
      <c r="O795" s="11"/>
      <c r="P795" s="11"/>
      <c r="Q795" s="11"/>
      <c r="S795" s="11"/>
      <c r="T795" s="11"/>
      <c r="U795" s="11"/>
      <c r="V795" s="11"/>
      <c r="X795" s="11"/>
    </row>
    <row r="796"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N796" s="11"/>
      <c r="O796" s="11"/>
      <c r="P796" s="11"/>
      <c r="Q796" s="11"/>
      <c r="S796" s="11"/>
      <c r="T796" s="11"/>
      <c r="U796" s="11"/>
      <c r="V796" s="11"/>
      <c r="X796" s="11"/>
    </row>
    <row r="797"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N797" s="11"/>
      <c r="O797" s="11"/>
      <c r="P797" s="11"/>
      <c r="Q797" s="11"/>
      <c r="S797" s="11"/>
      <c r="T797" s="11"/>
      <c r="U797" s="11"/>
      <c r="V797" s="11"/>
      <c r="X797" s="11"/>
    </row>
    <row r="798"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N798" s="11"/>
      <c r="O798" s="11"/>
      <c r="P798" s="11"/>
      <c r="Q798" s="11"/>
      <c r="S798" s="11"/>
      <c r="T798" s="11"/>
      <c r="U798" s="11"/>
      <c r="V798" s="11"/>
      <c r="X798" s="11"/>
    </row>
    <row r="799"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N799" s="11"/>
      <c r="O799" s="11"/>
      <c r="P799" s="11"/>
      <c r="Q799" s="11"/>
      <c r="S799" s="11"/>
      <c r="T799" s="11"/>
      <c r="U799" s="11"/>
      <c r="V799" s="11"/>
      <c r="X799" s="11"/>
    </row>
    <row r="800"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N800" s="11"/>
      <c r="O800" s="11"/>
      <c r="P800" s="11"/>
      <c r="Q800" s="11"/>
      <c r="S800" s="11"/>
      <c r="T800" s="11"/>
      <c r="U800" s="11"/>
      <c r="V800" s="11"/>
      <c r="X800" s="11"/>
    </row>
    <row r="801"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N801" s="11"/>
      <c r="O801" s="11"/>
      <c r="P801" s="11"/>
      <c r="Q801" s="11"/>
      <c r="S801" s="11"/>
      <c r="T801" s="11"/>
      <c r="U801" s="11"/>
      <c r="V801" s="11"/>
      <c r="X801" s="11"/>
    </row>
    <row r="802"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N802" s="11"/>
      <c r="O802" s="11"/>
      <c r="P802" s="11"/>
      <c r="Q802" s="11"/>
      <c r="S802" s="11"/>
      <c r="T802" s="11"/>
      <c r="U802" s="11"/>
      <c r="V802" s="11"/>
      <c r="X802" s="11"/>
    </row>
    <row r="803"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N803" s="11"/>
      <c r="O803" s="11"/>
      <c r="P803" s="11"/>
      <c r="Q803" s="11"/>
      <c r="S803" s="11"/>
      <c r="T803" s="11"/>
      <c r="U803" s="11"/>
      <c r="V803" s="11"/>
      <c r="X803" s="11"/>
    </row>
    <row r="804"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N804" s="11"/>
      <c r="O804" s="11"/>
      <c r="P804" s="11"/>
      <c r="Q804" s="11"/>
      <c r="S804" s="11"/>
      <c r="T804" s="11"/>
      <c r="U804" s="11"/>
      <c r="V804" s="11"/>
      <c r="X804" s="11"/>
    </row>
    <row r="805"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N805" s="11"/>
      <c r="O805" s="11"/>
      <c r="P805" s="11"/>
      <c r="Q805" s="11"/>
      <c r="S805" s="11"/>
      <c r="T805" s="11"/>
      <c r="U805" s="11"/>
      <c r="V805" s="11"/>
      <c r="X805" s="11"/>
    </row>
    <row r="806"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N806" s="11"/>
      <c r="O806" s="11"/>
      <c r="P806" s="11"/>
      <c r="Q806" s="11"/>
      <c r="S806" s="11"/>
      <c r="T806" s="11"/>
      <c r="U806" s="11"/>
      <c r="V806" s="11"/>
      <c r="X806" s="11"/>
    </row>
    <row r="807"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N807" s="11"/>
      <c r="O807" s="11"/>
      <c r="P807" s="11"/>
      <c r="Q807" s="11"/>
      <c r="S807" s="11"/>
      <c r="T807" s="11"/>
      <c r="U807" s="11"/>
      <c r="V807" s="11"/>
      <c r="X807" s="11"/>
    </row>
    <row r="808"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N808" s="11"/>
      <c r="O808" s="11"/>
      <c r="P808" s="11"/>
      <c r="Q808" s="11"/>
      <c r="S808" s="11"/>
      <c r="T808" s="11"/>
      <c r="U808" s="11"/>
      <c r="V808" s="11"/>
      <c r="X808" s="11"/>
    </row>
    <row r="809"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N809" s="11"/>
      <c r="O809" s="11"/>
      <c r="P809" s="11"/>
      <c r="Q809" s="11"/>
      <c r="S809" s="11"/>
      <c r="T809" s="11"/>
      <c r="U809" s="11"/>
      <c r="V809" s="11"/>
      <c r="X809" s="11"/>
    </row>
    <row r="810"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N810" s="11"/>
      <c r="O810" s="11"/>
      <c r="P810" s="11"/>
      <c r="Q810" s="11"/>
      <c r="S810" s="11"/>
      <c r="T810" s="11"/>
      <c r="U810" s="11"/>
      <c r="V810" s="11"/>
      <c r="X810" s="11"/>
    </row>
    <row r="811"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N811" s="11"/>
      <c r="O811" s="11"/>
      <c r="P811" s="11"/>
      <c r="Q811" s="11"/>
      <c r="S811" s="11"/>
      <c r="T811" s="11"/>
      <c r="U811" s="11"/>
      <c r="V811" s="11"/>
      <c r="X811" s="11"/>
    </row>
    <row r="812"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N812" s="11"/>
      <c r="O812" s="11"/>
      <c r="P812" s="11"/>
      <c r="Q812" s="11"/>
      <c r="S812" s="11"/>
      <c r="T812" s="11"/>
      <c r="U812" s="11"/>
      <c r="V812" s="11"/>
      <c r="X812" s="11"/>
    </row>
    <row r="813"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N813" s="11"/>
      <c r="O813" s="11"/>
      <c r="P813" s="11"/>
      <c r="Q813" s="11"/>
      <c r="S813" s="11"/>
      <c r="T813" s="11"/>
      <c r="U813" s="11"/>
      <c r="V813" s="11"/>
      <c r="X813" s="11"/>
    </row>
    <row r="814"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N814" s="11"/>
      <c r="O814" s="11"/>
      <c r="P814" s="11"/>
      <c r="Q814" s="11"/>
      <c r="S814" s="11"/>
      <c r="T814" s="11"/>
      <c r="U814" s="11"/>
      <c r="V814" s="11"/>
      <c r="X814" s="11"/>
    </row>
    <row r="815"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N815" s="11"/>
      <c r="O815" s="11"/>
      <c r="P815" s="11"/>
      <c r="Q815" s="11"/>
      <c r="S815" s="11"/>
      <c r="T815" s="11"/>
      <c r="U815" s="11"/>
      <c r="V815" s="11"/>
      <c r="X815" s="11"/>
    </row>
    <row r="816"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N816" s="11"/>
      <c r="O816" s="11"/>
      <c r="P816" s="11"/>
      <c r="Q816" s="11"/>
      <c r="S816" s="11"/>
      <c r="T816" s="11"/>
      <c r="U816" s="11"/>
      <c r="V816" s="11"/>
      <c r="X816" s="11"/>
    </row>
    <row r="817"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N817" s="11"/>
      <c r="O817" s="11"/>
      <c r="P817" s="11"/>
      <c r="Q817" s="11"/>
      <c r="S817" s="11"/>
      <c r="T817" s="11"/>
      <c r="U817" s="11"/>
      <c r="V817" s="11"/>
      <c r="X817" s="11"/>
    </row>
    <row r="818"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N818" s="11"/>
      <c r="O818" s="11"/>
      <c r="P818" s="11"/>
      <c r="Q818" s="11"/>
      <c r="S818" s="11"/>
      <c r="T818" s="11"/>
      <c r="U818" s="11"/>
      <c r="V818" s="11"/>
      <c r="X818" s="11"/>
    </row>
    <row r="819"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N819" s="11"/>
      <c r="O819" s="11"/>
      <c r="P819" s="11"/>
      <c r="Q819" s="11"/>
      <c r="S819" s="11"/>
      <c r="T819" s="11"/>
      <c r="U819" s="11"/>
      <c r="V819" s="11"/>
      <c r="X819" s="11"/>
    </row>
    <row r="820"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N820" s="11"/>
      <c r="O820" s="11"/>
      <c r="P820" s="11"/>
      <c r="Q820" s="11"/>
      <c r="S820" s="11"/>
      <c r="T820" s="11"/>
      <c r="U820" s="11"/>
      <c r="V820" s="11"/>
      <c r="X820" s="11"/>
    </row>
    <row r="821"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N821" s="11"/>
      <c r="O821" s="11"/>
      <c r="P821" s="11"/>
      <c r="Q821" s="11"/>
      <c r="S821" s="11"/>
      <c r="T821" s="11"/>
      <c r="U821" s="11"/>
      <c r="V821" s="11"/>
      <c r="X821" s="11"/>
    </row>
    <row r="822"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N822" s="11"/>
      <c r="O822" s="11"/>
      <c r="P822" s="11"/>
      <c r="Q822" s="11"/>
      <c r="S822" s="11"/>
      <c r="T822" s="11"/>
      <c r="U822" s="11"/>
      <c r="V822" s="11"/>
      <c r="X822" s="11"/>
    </row>
    <row r="823"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N823" s="11"/>
      <c r="O823" s="11"/>
      <c r="P823" s="11"/>
      <c r="Q823" s="11"/>
      <c r="S823" s="11"/>
      <c r="T823" s="11"/>
      <c r="U823" s="11"/>
      <c r="V823" s="11"/>
      <c r="X823" s="11"/>
    </row>
    <row r="824"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N824" s="11"/>
      <c r="O824" s="11"/>
      <c r="P824" s="11"/>
      <c r="Q824" s="11"/>
      <c r="S824" s="11"/>
      <c r="T824" s="11"/>
      <c r="U824" s="11"/>
      <c r="V824" s="11"/>
      <c r="X824" s="11"/>
    </row>
    <row r="825"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N825" s="11"/>
      <c r="O825" s="11"/>
      <c r="P825" s="11"/>
      <c r="Q825" s="11"/>
      <c r="S825" s="11"/>
      <c r="T825" s="11"/>
      <c r="U825" s="11"/>
      <c r="V825" s="11"/>
      <c r="X825" s="11"/>
    </row>
    <row r="826"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N826" s="11"/>
      <c r="O826" s="11"/>
      <c r="P826" s="11"/>
      <c r="Q826" s="11"/>
      <c r="S826" s="11"/>
      <c r="T826" s="11"/>
      <c r="U826" s="11"/>
      <c r="V826" s="11"/>
      <c r="X826" s="11"/>
    </row>
    <row r="827"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N827" s="11"/>
      <c r="O827" s="11"/>
      <c r="P827" s="11"/>
      <c r="Q827" s="11"/>
      <c r="S827" s="11"/>
      <c r="T827" s="11"/>
      <c r="U827" s="11"/>
      <c r="V827" s="11"/>
      <c r="X827" s="11"/>
    </row>
    <row r="828"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N828" s="11"/>
      <c r="O828" s="11"/>
      <c r="P828" s="11"/>
      <c r="Q828" s="11"/>
      <c r="S828" s="11"/>
      <c r="T828" s="11"/>
      <c r="U828" s="11"/>
      <c r="V828" s="11"/>
      <c r="X828" s="11"/>
    </row>
    <row r="829"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N829" s="11"/>
      <c r="O829" s="11"/>
      <c r="P829" s="11"/>
      <c r="Q829" s="11"/>
      <c r="S829" s="11"/>
      <c r="T829" s="11"/>
      <c r="U829" s="11"/>
      <c r="V829" s="11"/>
      <c r="X829" s="11"/>
    </row>
    <row r="830"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N830" s="11"/>
      <c r="O830" s="11"/>
      <c r="P830" s="11"/>
      <c r="Q830" s="11"/>
      <c r="S830" s="11"/>
      <c r="T830" s="11"/>
      <c r="U830" s="11"/>
      <c r="V830" s="11"/>
      <c r="X830" s="11"/>
    </row>
    <row r="831"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N831" s="11"/>
      <c r="O831" s="11"/>
      <c r="P831" s="11"/>
      <c r="Q831" s="11"/>
      <c r="S831" s="11"/>
      <c r="T831" s="11"/>
      <c r="U831" s="11"/>
      <c r="V831" s="11"/>
      <c r="X831" s="11"/>
    </row>
    <row r="832"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N832" s="11"/>
      <c r="O832" s="11"/>
      <c r="P832" s="11"/>
      <c r="Q832" s="11"/>
      <c r="S832" s="11"/>
      <c r="T832" s="11"/>
      <c r="U832" s="11"/>
      <c r="V832" s="11"/>
      <c r="X832" s="11"/>
    </row>
    <row r="833"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N833" s="11"/>
      <c r="O833" s="11"/>
      <c r="P833" s="11"/>
      <c r="Q833" s="11"/>
      <c r="S833" s="11"/>
      <c r="T833" s="11"/>
      <c r="U833" s="11"/>
      <c r="V833" s="11"/>
      <c r="X833" s="11"/>
    </row>
    <row r="834"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N834" s="11"/>
      <c r="O834" s="11"/>
      <c r="P834" s="11"/>
      <c r="Q834" s="11"/>
      <c r="S834" s="11"/>
      <c r="T834" s="11"/>
      <c r="U834" s="11"/>
      <c r="V834" s="11"/>
      <c r="X834" s="11"/>
    </row>
    <row r="835"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N835" s="11"/>
      <c r="O835" s="11"/>
      <c r="P835" s="11"/>
      <c r="Q835" s="11"/>
      <c r="S835" s="11"/>
      <c r="T835" s="11"/>
      <c r="U835" s="11"/>
      <c r="V835" s="11"/>
      <c r="X835" s="11"/>
    </row>
    <row r="836"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N836" s="11"/>
      <c r="O836" s="11"/>
      <c r="P836" s="11"/>
      <c r="Q836" s="11"/>
      <c r="S836" s="11"/>
      <c r="T836" s="11"/>
      <c r="U836" s="11"/>
      <c r="V836" s="11"/>
      <c r="X836" s="11"/>
    </row>
    <row r="837"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N837" s="11"/>
      <c r="O837" s="11"/>
      <c r="P837" s="11"/>
      <c r="Q837" s="11"/>
      <c r="S837" s="11"/>
      <c r="T837" s="11"/>
      <c r="U837" s="11"/>
      <c r="V837" s="11"/>
      <c r="X837" s="11"/>
    </row>
    <row r="838"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N838" s="11"/>
      <c r="O838" s="11"/>
      <c r="P838" s="11"/>
      <c r="Q838" s="11"/>
      <c r="S838" s="11"/>
      <c r="T838" s="11"/>
      <c r="U838" s="11"/>
      <c r="V838" s="11"/>
      <c r="X838" s="11"/>
    </row>
    <row r="839"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N839" s="11"/>
      <c r="O839" s="11"/>
      <c r="P839" s="11"/>
      <c r="Q839" s="11"/>
      <c r="S839" s="11"/>
      <c r="T839" s="11"/>
      <c r="U839" s="11"/>
      <c r="V839" s="11"/>
      <c r="X839" s="11"/>
    </row>
    <row r="840"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N840" s="11"/>
      <c r="O840" s="11"/>
      <c r="P840" s="11"/>
      <c r="Q840" s="11"/>
      <c r="S840" s="11"/>
      <c r="T840" s="11"/>
      <c r="U840" s="11"/>
      <c r="V840" s="11"/>
      <c r="X840" s="11"/>
    </row>
    <row r="841"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N841" s="11"/>
      <c r="O841" s="11"/>
      <c r="P841" s="11"/>
      <c r="Q841" s="11"/>
      <c r="S841" s="11"/>
      <c r="T841" s="11"/>
      <c r="U841" s="11"/>
      <c r="V841" s="11"/>
      <c r="X841" s="11"/>
    </row>
    <row r="842"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N842" s="11"/>
      <c r="O842" s="11"/>
      <c r="P842" s="11"/>
      <c r="Q842" s="11"/>
      <c r="S842" s="11"/>
      <c r="T842" s="11"/>
      <c r="U842" s="11"/>
      <c r="V842" s="11"/>
      <c r="X842" s="11"/>
    </row>
    <row r="843"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N843" s="11"/>
      <c r="O843" s="11"/>
      <c r="P843" s="11"/>
      <c r="Q843" s="11"/>
      <c r="S843" s="11"/>
      <c r="T843" s="11"/>
      <c r="U843" s="11"/>
      <c r="V843" s="11"/>
      <c r="X843" s="11"/>
    </row>
    <row r="844"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N844" s="11"/>
      <c r="O844" s="11"/>
      <c r="P844" s="11"/>
      <c r="Q844" s="11"/>
      <c r="S844" s="11"/>
      <c r="T844" s="11"/>
      <c r="U844" s="11"/>
      <c r="V844" s="11"/>
      <c r="X844" s="11"/>
    </row>
    <row r="845"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N845" s="11"/>
      <c r="O845" s="11"/>
      <c r="P845" s="11"/>
      <c r="Q845" s="11"/>
      <c r="S845" s="11"/>
      <c r="T845" s="11"/>
      <c r="U845" s="11"/>
      <c r="V845" s="11"/>
      <c r="X845" s="11"/>
    </row>
    <row r="846"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N846" s="11"/>
      <c r="O846" s="11"/>
      <c r="P846" s="11"/>
      <c r="Q846" s="11"/>
      <c r="S846" s="11"/>
      <c r="T846" s="11"/>
      <c r="U846" s="11"/>
      <c r="V846" s="11"/>
      <c r="X846" s="11"/>
    </row>
    <row r="847"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N847" s="11"/>
      <c r="O847" s="11"/>
      <c r="P847" s="11"/>
      <c r="Q847" s="11"/>
      <c r="S847" s="11"/>
      <c r="T847" s="11"/>
      <c r="U847" s="11"/>
      <c r="V847" s="11"/>
      <c r="X847" s="11"/>
    </row>
    <row r="848"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N848" s="11"/>
      <c r="O848" s="11"/>
      <c r="P848" s="11"/>
      <c r="Q848" s="11"/>
      <c r="S848" s="11"/>
      <c r="T848" s="11"/>
      <c r="U848" s="11"/>
      <c r="V848" s="11"/>
      <c r="X848" s="11"/>
    </row>
    <row r="849"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N849" s="11"/>
      <c r="O849" s="11"/>
      <c r="P849" s="11"/>
      <c r="Q849" s="11"/>
      <c r="S849" s="11"/>
      <c r="T849" s="11"/>
      <c r="U849" s="11"/>
      <c r="V849" s="11"/>
      <c r="X849" s="11"/>
    </row>
    <row r="850"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N850" s="11"/>
      <c r="O850" s="11"/>
      <c r="P850" s="11"/>
      <c r="Q850" s="11"/>
      <c r="S850" s="11"/>
      <c r="T850" s="11"/>
      <c r="U850" s="11"/>
      <c r="V850" s="11"/>
      <c r="X850" s="11"/>
    </row>
    <row r="851"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N851" s="11"/>
      <c r="O851" s="11"/>
      <c r="P851" s="11"/>
      <c r="Q851" s="11"/>
      <c r="S851" s="11"/>
      <c r="T851" s="11"/>
      <c r="U851" s="11"/>
      <c r="V851" s="11"/>
      <c r="X851" s="11"/>
    </row>
    <row r="852"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N852" s="11"/>
      <c r="O852" s="11"/>
      <c r="P852" s="11"/>
      <c r="Q852" s="11"/>
      <c r="S852" s="11"/>
      <c r="T852" s="11"/>
      <c r="U852" s="11"/>
      <c r="V852" s="11"/>
      <c r="X852" s="11"/>
    </row>
    <row r="853"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N853" s="11"/>
      <c r="O853" s="11"/>
      <c r="P853" s="11"/>
      <c r="Q853" s="11"/>
      <c r="S853" s="11"/>
      <c r="T853" s="11"/>
      <c r="U853" s="11"/>
      <c r="V853" s="11"/>
      <c r="X853" s="11"/>
    </row>
    <row r="854"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N854" s="11"/>
      <c r="O854" s="11"/>
      <c r="P854" s="11"/>
      <c r="Q854" s="11"/>
      <c r="S854" s="11"/>
      <c r="T854" s="11"/>
      <c r="U854" s="11"/>
      <c r="V854" s="11"/>
      <c r="X854" s="11"/>
    </row>
    <row r="855"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N855" s="11"/>
      <c r="O855" s="11"/>
      <c r="P855" s="11"/>
      <c r="Q855" s="11"/>
      <c r="S855" s="11"/>
      <c r="T855" s="11"/>
      <c r="U855" s="11"/>
      <c r="V855" s="11"/>
      <c r="X855" s="11"/>
    </row>
    <row r="856"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N856" s="11"/>
      <c r="O856" s="11"/>
      <c r="P856" s="11"/>
      <c r="Q856" s="11"/>
      <c r="S856" s="11"/>
      <c r="T856" s="11"/>
      <c r="U856" s="11"/>
      <c r="V856" s="11"/>
      <c r="X856" s="11"/>
    </row>
    <row r="857"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N857" s="11"/>
      <c r="O857" s="11"/>
      <c r="P857" s="11"/>
      <c r="Q857" s="11"/>
      <c r="S857" s="11"/>
      <c r="T857" s="11"/>
      <c r="U857" s="11"/>
      <c r="V857" s="11"/>
      <c r="X857" s="11"/>
    </row>
    <row r="858"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N858" s="11"/>
      <c r="O858" s="11"/>
      <c r="P858" s="11"/>
      <c r="Q858" s="11"/>
      <c r="S858" s="11"/>
      <c r="T858" s="11"/>
      <c r="U858" s="11"/>
      <c r="V858" s="11"/>
      <c r="X858" s="11"/>
    </row>
    <row r="859"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N859" s="11"/>
      <c r="O859" s="11"/>
      <c r="P859" s="11"/>
      <c r="Q859" s="11"/>
      <c r="S859" s="11"/>
      <c r="T859" s="11"/>
      <c r="U859" s="11"/>
      <c r="V859" s="11"/>
      <c r="X859" s="11"/>
    </row>
    <row r="860"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N860" s="11"/>
      <c r="O860" s="11"/>
      <c r="P860" s="11"/>
      <c r="Q860" s="11"/>
      <c r="S860" s="11"/>
      <c r="T860" s="11"/>
      <c r="U860" s="11"/>
      <c r="V860" s="11"/>
      <c r="X860" s="11"/>
    </row>
    <row r="861"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N861" s="11"/>
      <c r="O861" s="11"/>
      <c r="P861" s="11"/>
      <c r="Q861" s="11"/>
      <c r="S861" s="11"/>
      <c r="T861" s="11"/>
      <c r="U861" s="11"/>
      <c r="V861" s="11"/>
      <c r="X861" s="11"/>
    </row>
    <row r="862"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N862" s="11"/>
      <c r="O862" s="11"/>
      <c r="P862" s="11"/>
      <c r="Q862" s="11"/>
      <c r="S862" s="11"/>
      <c r="T862" s="11"/>
      <c r="U862" s="11"/>
      <c r="V862" s="11"/>
      <c r="X862" s="11"/>
    </row>
    <row r="863"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N863" s="11"/>
      <c r="O863" s="11"/>
      <c r="P863" s="11"/>
      <c r="Q863" s="11"/>
      <c r="S863" s="11"/>
      <c r="T863" s="11"/>
      <c r="U863" s="11"/>
      <c r="V863" s="11"/>
      <c r="X863" s="11"/>
    </row>
    <row r="864"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N864" s="11"/>
      <c r="O864" s="11"/>
      <c r="P864" s="11"/>
      <c r="Q864" s="11"/>
      <c r="S864" s="11"/>
      <c r="T864" s="11"/>
      <c r="U864" s="11"/>
      <c r="V864" s="11"/>
      <c r="X864" s="11"/>
    </row>
    <row r="865"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N865" s="11"/>
      <c r="O865" s="11"/>
      <c r="P865" s="11"/>
      <c r="Q865" s="11"/>
      <c r="S865" s="11"/>
      <c r="T865" s="11"/>
      <c r="U865" s="11"/>
      <c r="V865" s="11"/>
      <c r="X865" s="11"/>
    </row>
    <row r="866"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N866" s="11"/>
      <c r="O866" s="11"/>
      <c r="P866" s="11"/>
      <c r="Q866" s="11"/>
      <c r="S866" s="11"/>
      <c r="T866" s="11"/>
      <c r="U866" s="11"/>
      <c r="V866" s="11"/>
      <c r="X866" s="11"/>
    </row>
    <row r="867"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N867" s="11"/>
      <c r="O867" s="11"/>
      <c r="P867" s="11"/>
      <c r="Q867" s="11"/>
      <c r="S867" s="11"/>
      <c r="T867" s="11"/>
      <c r="U867" s="11"/>
      <c r="V867" s="11"/>
      <c r="X867" s="11"/>
    </row>
    <row r="868"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N868" s="11"/>
      <c r="O868" s="11"/>
      <c r="P868" s="11"/>
      <c r="Q868" s="11"/>
      <c r="S868" s="11"/>
      <c r="T868" s="11"/>
      <c r="U868" s="11"/>
      <c r="V868" s="11"/>
      <c r="X868" s="11"/>
    </row>
    <row r="869"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N869" s="11"/>
      <c r="O869" s="11"/>
      <c r="P869" s="11"/>
      <c r="Q869" s="11"/>
      <c r="S869" s="11"/>
      <c r="T869" s="11"/>
      <c r="U869" s="11"/>
      <c r="V869" s="11"/>
      <c r="X869" s="11"/>
    </row>
    <row r="870"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N870" s="11"/>
      <c r="O870" s="11"/>
      <c r="P870" s="11"/>
      <c r="Q870" s="11"/>
      <c r="S870" s="11"/>
      <c r="T870" s="11"/>
      <c r="U870" s="11"/>
      <c r="V870" s="11"/>
      <c r="X870" s="11"/>
    </row>
    <row r="871"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N871" s="11"/>
      <c r="O871" s="11"/>
      <c r="P871" s="11"/>
      <c r="Q871" s="11"/>
      <c r="S871" s="11"/>
      <c r="T871" s="11"/>
      <c r="U871" s="11"/>
      <c r="V871" s="11"/>
      <c r="X871" s="11"/>
    </row>
    <row r="872"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N872" s="11"/>
      <c r="O872" s="11"/>
      <c r="P872" s="11"/>
      <c r="Q872" s="11"/>
      <c r="S872" s="11"/>
      <c r="T872" s="11"/>
      <c r="U872" s="11"/>
      <c r="V872" s="11"/>
      <c r="X872" s="11"/>
    </row>
    <row r="873"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N873" s="11"/>
      <c r="O873" s="11"/>
      <c r="P873" s="11"/>
      <c r="Q873" s="11"/>
      <c r="S873" s="11"/>
      <c r="T873" s="11"/>
      <c r="U873" s="11"/>
      <c r="V873" s="11"/>
      <c r="X873" s="11"/>
    </row>
    <row r="874"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N874" s="11"/>
      <c r="O874" s="11"/>
      <c r="P874" s="11"/>
      <c r="Q874" s="11"/>
      <c r="S874" s="11"/>
      <c r="T874" s="11"/>
      <c r="U874" s="11"/>
      <c r="V874" s="11"/>
      <c r="X874" s="11"/>
    </row>
    <row r="875"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N875" s="11"/>
      <c r="O875" s="11"/>
      <c r="P875" s="11"/>
      <c r="Q875" s="11"/>
      <c r="S875" s="11"/>
      <c r="T875" s="11"/>
      <c r="U875" s="11"/>
      <c r="V875" s="11"/>
      <c r="X875" s="11"/>
    </row>
    <row r="876"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N876" s="11"/>
      <c r="O876" s="11"/>
      <c r="P876" s="11"/>
      <c r="Q876" s="11"/>
      <c r="S876" s="11"/>
      <c r="T876" s="11"/>
      <c r="U876" s="11"/>
      <c r="V876" s="11"/>
      <c r="X876" s="11"/>
    </row>
    <row r="877"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N877" s="11"/>
      <c r="O877" s="11"/>
      <c r="P877" s="11"/>
      <c r="Q877" s="11"/>
      <c r="S877" s="11"/>
      <c r="T877" s="11"/>
      <c r="U877" s="11"/>
      <c r="V877" s="11"/>
      <c r="X877" s="11"/>
    </row>
    <row r="878"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N878" s="11"/>
      <c r="O878" s="11"/>
      <c r="P878" s="11"/>
      <c r="Q878" s="11"/>
      <c r="S878" s="11"/>
      <c r="T878" s="11"/>
      <c r="U878" s="11"/>
      <c r="V878" s="11"/>
      <c r="X878" s="11"/>
    </row>
    <row r="879"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N879" s="11"/>
      <c r="O879" s="11"/>
      <c r="P879" s="11"/>
      <c r="Q879" s="11"/>
      <c r="S879" s="11"/>
      <c r="T879" s="11"/>
      <c r="U879" s="11"/>
      <c r="V879" s="11"/>
      <c r="X879" s="11"/>
    </row>
    <row r="880"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N880" s="11"/>
      <c r="O880" s="11"/>
      <c r="P880" s="11"/>
      <c r="Q880" s="11"/>
      <c r="S880" s="11"/>
      <c r="T880" s="11"/>
      <c r="U880" s="11"/>
      <c r="V880" s="11"/>
      <c r="X880" s="11"/>
    </row>
    <row r="881"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N881" s="11"/>
      <c r="O881" s="11"/>
      <c r="P881" s="11"/>
      <c r="Q881" s="11"/>
      <c r="S881" s="11"/>
      <c r="T881" s="11"/>
      <c r="U881" s="11"/>
      <c r="V881" s="11"/>
      <c r="X881" s="11"/>
    </row>
    <row r="882"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N882" s="11"/>
      <c r="O882" s="11"/>
      <c r="P882" s="11"/>
      <c r="Q882" s="11"/>
      <c r="S882" s="11"/>
      <c r="T882" s="11"/>
      <c r="U882" s="11"/>
      <c r="V882" s="11"/>
      <c r="X882" s="11"/>
    </row>
    <row r="883"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N883" s="11"/>
      <c r="O883" s="11"/>
      <c r="P883" s="11"/>
      <c r="Q883" s="11"/>
      <c r="S883" s="11"/>
      <c r="T883" s="11"/>
      <c r="U883" s="11"/>
      <c r="V883" s="11"/>
      <c r="X883" s="11"/>
    </row>
    <row r="884"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N884" s="11"/>
      <c r="O884" s="11"/>
      <c r="P884" s="11"/>
      <c r="Q884" s="11"/>
      <c r="S884" s="11"/>
      <c r="T884" s="11"/>
      <c r="U884" s="11"/>
      <c r="V884" s="11"/>
      <c r="X884" s="11"/>
    </row>
    <row r="885"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N885" s="11"/>
      <c r="O885" s="11"/>
      <c r="P885" s="11"/>
      <c r="Q885" s="11"/>
      <c r="S885" s="11"/>
      <c r="T885" s="11"/>
      <c r="U885" s="11"/>
      <c r="V885" s="11"/>
      <c r="X885" s="11"/>
    </row>
    <row r="886"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N886" s="11"/>
      <c r="O886" s="11"/>
      <c r="P886" s="11"/>
      <c r="Q886" s="11"/>
      <c r="S886" s="11"/>
      <c r="T886" s="11"/>
      <c r="U886" s="11"/>
      <c r="V886" s="11"/>
      <c r="X886" s="11"/>
    </row>
    <row r="887"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N887" s="11"/>
      <c r="O887" s="11"/>
      <c r="P887" s="11"/>
      <c r="Q887" s="11"/>
      <c r="S887" s="11"/>
      <c r="T887" s="11"/>
      <c r="U887" s="11"/>
      <c r="V887" s="11"/>
      <c r="X887" s="11"/>
    </row>
    <row r="888"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N888" s="11"/>
      <c r="O888" s="11"/>
      <c r="P888" s="11"/>
      <c r="Q888" s="11"/>
      <c r="S888" s="11"/>
      <c r="T888" s="11"/>
      <c r="U888" s="11"/>
      <c r="V888" s="11"/>
      <c r="X888" s="11"/>
    </row>
    <row r="889"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N889" s="11"/>
      <c r="O889" s="11"/>
      <c r="P889" s="11"/>
      <c r="Q889" s="11"/>
      <c r="S889" s="11"/>
      <c r="T889" s="11"/>
      <c r="U889" s="11"/>
      <c r="V889" s="11"/>
      <c r="X889" s="11"/>
    </row>
    <row r="890"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N890" s="11"/>
      <c r="O890" s="11"/>
      <c r="P890" s="11"/>
      <c r="Q890" s="11"/>
      <c r="S890" s="11"/>
      <c r="T890" s="11"/>
      <c r="U890" s="11"/>
      <c r="V890" s="11"/>
      <c r="X890" s="11"/>
    </row>
    <row r="891"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N891" s="11"/>
      <c r="O891" s="11"/>
      <c r="P891" s="11"/>
      <c r="Q891" s="11"/>
      <c r="S891" s="11"/>
      <c r="T891" s="11"/>
      <c r="U891" s="11"/>
      <c r="V891" s="11"/>
      <c r="X891" s="11"/>
    </row>
    <row r="892"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N892" s="11"/>
      <c r="O892" s="11"/>
      <c r="P892" s="11"/>
      <c r="Q892" s="11"/>
      <c r="S892" s="11"/>
      <c r="T892" s="11"/>
      <c r="U892" s="11"/>
      <c r="V892" s="11"/>
      <c r="X892" s="11"/>
    </row>
    <row r="893"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N893" s="11"/>
      <c r="O893" s="11"/>
      <c r="P893" s="11"/>
      <c r="Q893" s="11"/>
      <c r="S893" s="11"/>
      <c r="T893" s="11"/>
      <c r="U893" s="11"/>
      <c r="V893" s="11"/>
      <c r="X893" s="11"/>
    </row>
    <row r="894"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N894" s="11"/>
      <c r="O894" s="11"/>
      <c r="P894" s="11"/>
      <c r="Q894" s="11"/>
      <c r="S894" s="11"/>
      <c r="T894" s="11"/>
      <c r="U894" s="11"/>
      <c r="V894" s="11"/>
      <c r="X894" s="11"/>
    </row>
    <row r="895"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N895" s="11"/>
      <c r="O895" s="11"/>
      <c r="P895" s="11"/>
      <c r="Q895" s="11"/>
      <c r="S895" s="11"/>
      <c r="T895" s="11"/>
      <c r="U895" s="11"/>
      <c r="V895" s="11"/>
      <c r="X895" s="11"/>
    </row>
    <row r="896"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N896" s="11"/>
      <c r="O896" s="11"/>
      <c r="P896" s="11"/>
      <c r="Q896" s="11"/>
      <c r="S896" s="11"/>
      <c r="T896" s="11"/>
      <c r="U896" s="11"/>
      <c r="V896" s="11"/>
      <c r="X896" s="11"/>
    </row>
    <row r="897"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N897" s="11"/>
      <c r="O897" s="11"/>
      <c r="P897" s="11"/>
      <c r="Q897" s="11"/>
      <c r="S897" s="11"/>
      <c r="T897" s="11"/>
      <c r="U897" s="11"/>
      <c r="V897" s="11"/>
      <c r="X897" s="11"/>
    </row>
    <row r="898"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N898" s="11"/>
      <c r="O898" s="11"/>
      <c r="P898" s="11"/>
      <c r="Q898" s="11"/>
      <c r="S898" s="11"/>
      <c r="T898" s="11"/>
      <c r="U898" s="11"/>
      <c r="V898" s="11"/>
      <c r="X898" s="11"/>
    </row>
    <row r="899"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N899" s="11"/>
      <c r="O899" s="11"/>
      <c r="P899" s="11"/>
      <c r="Q899" s="11"/>
      <c r="S899" s="11"/>
      <c r="T899" s="11"/>
      <c r="U899" s="11"/>
      <c r="V899" s="11"/>
      <c r="X899" s="11"/>
    </row>
    <row r="900"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N900" s="11"/>
      <c r="O900" s="11"/>
      <c r="P900" s="11"/>
      <c r="Q900" s="11"/>
      <c r="S900" s="11"/>
      <c r="T900" s="11"/>
      <c r="U900" s="11"/>
      <c r="V900" s="11"/>
      <c r="X900" s="11"/>
    </row>
    <row r="901"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N901" s="11"/>
      <c r="O901" s="11"/>
      <c r="P901" s="11"/>
      <c r="Q901" s="11"/>
      <c r="S901" s="11"/>
      <c r="T901" s="11"/>
      <c r="U901" s="11"/>
      <c r="V901" s="11"/>
      <c r="X901" s="11"/>
    </row>
    <row r="902"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N902" s="11"/>
      <c r="O902" s="11"/>
      <c r="P902" s="11"/>
      <c r="Q902" s="11"/>
      <c r="S902" s="11"/>
      <c r="T902" s="11"/>
      <c r="U902" s="11"/>
      <c r="V902" s="11"/>
      <c r="X902" s="11"/>
    </row>
    <row r="903"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N903" s="11"/>
      <c r="O903" s="11"/>
      <c r="P903" s="11"/>
      <c r="Q903" s="11"/>
      <c r="S903" s="11"/>
      <c r="T903" s="11"/>
      <c r="U903" s="11"/>
      <c r="V903" s="11"/>
      <c r="X903" s="11"/>
    </row>
    <row r="904"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N904" s="11"/>
      <c r="O904" s="11"/>
      <c r="P904" s="11"/>
      <c r="Q904" s="11"/>
      <c r="S904" s="11"/>
      <c r="T904" s="11"/>
      <c r="U904" s="11"/>
      <c r="V904" s="11"/>
      <c r="X904" s="11"/>
    </row>
    <row r="905"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N905" s="11"/>
      <c r="O905" s="11"/>
      <c r="P905" s="11"/>
      <c r="Q905" s="11"/>
      <c r="S905" s="11"/>
      <c r="T905" s="11"/>
      <c r="U905" s="11"/>
      <c r="V905" s="11"/>
      <c r="X905" s="11"/>
    </row>
    <row r="906"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N906" s="11"/>
      <c r="O906" s="11"/>
      <c r="P906" s="11"/>
      <c r="Q906" s="11"/>
      <c r="S906" s="11"/>
      <c r="T906" s="11"/>
      <c r="U906" s="11"/>
      <c r="V906" s="11"/>
      <c r="X906" s="11"/>
    </row>
    <row r="907"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N907" s="11"/>
      <c r="O907" s="11"/>
      <c r="P907" s="11"/>
      <c r="Q907" s="11"/>
      <c r="S907" s="11"/>
      <c r="T907" s="11"/>
      <c r="U907" s="11"/>
      <c r="V907" s="11"/>
      <c r="X907" s="11"/>
    </row>
    <row r="908"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N908" s="11"/>
      <c r="O908" s="11"/>
      <c r="P908" s="11"/>
      <c r="Q908" s="11"/>
      <c r="S908" s="11"/>
      <c r="T908" s="11"/>
      <c r="U908" s="11"/>
      <c r="V908" s="11"/>
      <c r="X908" s="11"/>
    </row>
    <row r="909"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N909" s="11"/>
      <c r="O909" s="11"/>
      <c r="P909" s="11"/>
      <c r="Q909" s="11"/>
      <c r="S909" s="11"/>
      <c r="T909" s="11"/>
      <c r="U909" s="11"/>
      <c r="V909" s="11"/>
      <c r="X909" s="11"/>
    </row>
    <row r="910"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N910" s="11"/>
      <c r="O910" s="11"/>
      <c r="P910" s="11"/>
      <c r="Q910" s="11"/>
      <c r="S910" s="11"/>
      <c r="T910" s="11"/>
      <c r="U910" s="11"/>
      <c r="V910" s="11"/>
      <c r="X910" s="11"/>
    </row>
    <row r="911"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N911" s="11"/>
      <c r="O911" s="11"/>
      <c r="P911" s="11"/>
      <c r="Q911" s="11"/>
      <c r="S911" s="11"/>
      <c r="T911" s="11"/>
      <c r="U911" s="11"/>
      <c r="V911" s="11"/>
      <c r="X911" s="11"/>
    </row>
    <row r="912"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N912" s="11"/>
      <c r="O912" s="11"/>
      <c r="P912" s="11"/>
      <c r="Q912" s="11"/>
      <c r="S912" s="11"/>
      <c r="T912" s="11"/>
      <c r="U912" s="11"/>
      <c r="V912" s="11"/>
      <c r="X912" s="11"/>
    </row>
    <row r="913"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N913" s="11"/>
      <c r="O913" s="11"/>
      <c r="P913" s="11"/>
      <c r="Q913" s="11"/>
      <c r="S913" s="11"/>
      <c r="T913" s="11"/>
      <c r="U913" s="11"/>
      <c r="V913" s="11"/>
      <c r="X913" s="11"/>
    </row>
    <row r="914"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N914" s="11"/>
      <c r="O914" s="11"/>
      <c r="P914" s="11"/>
      <c r="Q914" s="11"/>
      <c r="S914" s="11"/>
      <c r="T914" s="11"/>
      <c r="U914" s="11"/>
      <c r="V914" s="11"/>
      <c r="X914" s="11"/>
    </row>
    <row r="915"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N915" s="11"/>
      <c r="O915" s="11"/>
      <c r="P915" s="11"/>
      <c r="Q915" s="11"/>
      <c r="S915" s="11"/>
      <c r="T915" s="11"/>
      <c r="U915" s="11"/>
      <c r="V915" s="11"/>
      <c r="X915" s="11"/>
    </row>
    <row r="916"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N916" s="11"/>
      <c r="O916" s="11"/>
      <c r="P916" s="11"/>
      <c r="Q916" s="11"/>
      <c r="S916" s="11"/>
      <c r="T916" s="11"/>
      <c r="U916" s="11"/>
      <c r="V916" s="11"/>
      <c r="X916" s="11"/>
    </row>
    <row r="917"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N917" s="11"/>
      <c r="O917" s="11"/>
      <c r="P917" s="11"/>
      <c r="Q917" s="11"/>
      <c r="S917" s="11"/>
      <c r="T917" s="11"/>
      <c r="U917" s="11"/>
      <c r="V917" s="11"/>
      <c r="X917" s="11"/>
    </row>
    <row r="918"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N918" s="11"/>
      <c r="O918" s="11"/>
      <c r="P918" s="11"/>
      <c r="Q918" s="11"/>
      <c r="S918" s="11"/>
      <c r="T918" s="11"/>
      <c r="U918" s="11"/>
      <c r="V918" s="11"/>
      <c r="X918" s="11"/>
    </row>
    <row r="919"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N919" s="11"/>
      <c r="O919" s="11"/>
      <c r="P919" s="11"/>
      <c r="Q919" s="11"/>
      <c r="S919" s="11"/>
      <c r="T919" s="11"/>
      <c r="U919" s="11"/>
      <c r="V919" s="11"/>
      <c r="X919" s="11"/>
    </row>
    <row r="920"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N920" s="11"/>
      <c r="O920" s="11"/>
      <c r="P920" s="11"/>
      <c r="Q920" s="11"/>
      <c r="S920" s="11"/>
      <c r="T920" s="11"/>
      <c r="U920" s="11"/>
      <c r="V920" s="11"/>
      <c r="X920" s="11"/>
    </row>
    <row r="921"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N921" s="11"/>
      <c r="O921" s="11"/>
      <c r="P921" s="11"/>
      <c r="Q921" s="11"/>
      <c r="S921" s="11"/>
      <c r="T921" s="11"/>
      <c r="U921" s="11"/>
      <c r="V921" s="11"/>
      <c r="X921" s="11"/>
    </row>
    <row r="922"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N922" s="11"/>
      <c r="O922" s="11"/>
      <c r="P922" s="11"/>
      <c r="Q922" s="11"/>
      <c r="S922" s="11"/>
      <c r="T922" s="11"/>
      <c r="U922" s="11"/>
      <c r="V922" s="11"/>
      <c r="X922" s="11"/>
    </row>
    <row r="923"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N923" s="11"/>
      <c r="O923" s="11"/>
      <c r="P923" s="11"/>
      <c r="Q923" s="11"/>
      <c r="S923" s="11"/>
      <c r="T923" s="11"/>
      <c r="U923" s="11"/>
      <c r="V923" s="11"/>
      <c r="X923" s="11"/>
    </row>
    <row r="924"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N924" s="11"/>
      <c r="O924" s="11"/>
      <c r="P924" s="11"/>
      <c r="Q924" s="11"/>
      <c r="S924" s="11"/>
      <c r="T924" s="11"/>
      <c r="U924" s="11"/>
      <c r="V924" s="11"/>
      <c r="X924" s="11"/>
    </row>
    <row r="925"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N925" s="11"/>
      <c r="O925" s="11"/>
      <c r="P925" s="11"/>
      <c r="Q925" s="11"/>
      <c r="S925" s="11"/>
      <c r="T925" s="11"/>
      <c r="U925" s="11"/>
      <c r="V925" s="11"/>
      <c r="X925" s="11"/>
    </row>
    <row r="926"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N926" s="11"/>
      <c r="O926" s="11"/>
      <c r="P926" s="11"/>
      <c r="Q926" s="11"/>
      <c r="S926" s="11"/>
      <c r="T926" s="11"/>
      <c r="U926" s="11"/>
      <c r="V926" s="11"/>
      <c r="X926" s="11"/>
    </row>
    <row r="927"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N927" s="11"/>
      <c r="O927" s="11"/>
      <c r="P927" s="11"/>
      <c r="Q927" s="11"/>
      <c r="S927" s="11"/>
      <c r="T927" s="11"/>
      <c r="U927" s="11"/>
      <c r="V927" s="11"/>
      <c r="X927" s="11"/>
    </row>
    <row r="928"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N928" s="11"/>
      <c r="O928" s="11"/>
      <c r="P928" s="11"/>
      <c r="Q928" s="11"/>
      <c r="S928" s="11"/>
      <c r="T928" s="11"/>
      <c r="U928" s="11"/>
      <c r="V928" s="11"/>
      <c r="X928" s="11"/>
    </row>
    <row r="929"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N929" s="11"/>
      <c r="O929" s="11"/>
      <c r="P929" s="11"/>
      <c r="Q929" s="11"/>
      <c r="S929" s="11"/>
      <c r="T929" s="11"/>
      <c r="U929" s="11"/>
      <c r="V929" s="11"/>
      <c r="X929" s="11"/>
    </row>
    <row r="930"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N930" s="11"/>
      <c r="O930" s="11"/>
      <c r="P930" s="11"/>
      <c r="Q930" s="11"/>
      <c r="S930" s="11"/>
      <c r="T930" s="11"/>
      <c r="U930" s="11"/>
      <c r="V930" s="11"/>
      <c r="X930" s="11"/>
    </row>
    <row r="931"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N931" s="11"/>
      <c r="O931" s="11"/>
      <c r="P931" s="11"/>
      <c r="Q931" s="11"/>
      <c r="S931" s="11"/>
      <c r="T931" s="11"/>
      <c r="U931" s="11"/>
      <c r="V931" s="11"/>
      <c r="X931" s="11"/>
    </row>
    <row r="932"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N932" s="11"/>
      <c r="O932" s="11"/>
      <c r="P932" s="11"/>
      <c r="Q932" s="11"/>
      <c r="S932" s="11"/>
      <c r="T932" s="11"/>
      <c r="U932" s="11"/>
      <c r="V932" s="11"/>
      <c r="X932" s="11"/>
    </row>
    <row r="933"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N933" s="11"/>
      <c r="O933" s="11"/>
      <c r="P933" s="11"/>
      <c r="Q933" s="11"/>
      <c r="S933" s="11"/>
      <c r="T933" s="11"/>
      <c r="U933" s="11"/>
      <c r="V933" s="11"/>
      <c r="X933" s="11"/>
    </row>
    <row r="934"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N934" s="11"/>
      <c r="O934" s="11"/>
      <c r="P934" s="11"/>
      <c r="Q934" s="11"/>
      <c r="S934" s="11"/>
      <c r="T934" s="11"/>
      <c r="U934" s="11"/>
      <c r="V934" s="11"/>
      <c r="X934" s="11"/>
    </row>
    <row r="935"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N935" s="11"/>
      <c r="O935" s="11"/>
      <c r="P935" s="11"/>
      <c r="Q935" s="11"/>
      <c r="S935" s="11"/>
      <c r="T935" s="11"/>
      <c r="U935" s="11"/>
      <c r="V935" s="11"/>
      <c r="X935" s="11"/>
    </row>
    <row r="936"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N936" s="11"/>
      <c r="O936" s="11"/>
      <c r="P936" s="11"/>
      <c r="Q936" s="11"/>
      <c r="S936" s="11"/>
      <c r="T936" s="11"/>
      <c r="U936" s="11"/>
      <c r="V936" s="11"/>
      <c r="X936" s="11"/>
    </row>
    <row r="937"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N937" s="11"/>
      <c r="O937" s="11"/>
      <c r="P937" s="11"/>
      <c r="Q937" s="11"/>
      <c r="S937" s="11"/>
      <c r="T937" s="11"/>
      <c r="U937" s="11"/>
      <c r="V937" s="11"/>
      <c r="X937" s="11"/>
    </row>
    <row r="938"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N938" s="11"/>
      <c r="O938" s="11"/>
      <c r="P938" s="11"/>
      <c r="Q938" s="11"/>
      <c r="S938" s="11"/>
      <c r="T938" s="11"/>
      <c r="U938" s="11"/>
      <c r="V938" s="11"/>
      <c r="X938" s="11"/>
    </row>
    <row r="939"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N939" s="11"/>
      <c r="O939" s="11"/>
      <c r="P939" s="11"/>
      <c r="Q939" s="11"/>
      <c r="S939" s="11"/>
      <c r="T939" s="11"/>
      <c r="U939" s="11"/>
      <c r="V939" s="11"/>
      <c r="X939" s="11"/>
    </row>
    <row r="940"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N940" s="11"/>
      <c r="O940" s="11"/>
      <c r="P940" s="11"/>
      <c r="Q940" s="11"/>
      <c r="S940" s="11"/>
      <c r="T940" s="11"/>
      <c r="U940" s="11"/>
      <c r="V940" s="11"/>
      <c r="X940" s="11"/>
    </row>
    <row r="941"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N941" s="11"/>
      <c r="O941" s="11"/>
      <c r="P941" s="11"/>
      <c r="Q941" s="11"/>
      <c r="S941" s="11"/>
      <c r="T941" s="11"/>
      <c r="U941" s="11"/>
      <c r="V941" s="11"/>
      <c r="X941" s="11"/>
    </row>
    <row r="942"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N942" s="11"/>
      <c r="O942" s="11"/>
      <c r="P942" s="11"/>
      <c r="Q942" s="11"/>
      <c r="S942" s="11"/>
      <c r="T942" s="11"/>
      <c r="U942" s="11"/>
      <c r="V942" s="11"/>
      <c r="X942" s="11"/>
    </row>
    <row r="943"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N943" s="11"/>
      <c r="O943" s="11"/>
      <c r="P943" s="11"/>
      <c r="Q943" s="11"/>
      <c r="S943" s="11"/>
      <c r="T943" s="11"/>
      <c r="U943" s="11"/>
      <c r="V943" s="11"/>
      <c r="X943" s="11"/>
    </row>
    <row r="944"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N944" s="11"/>
      <c r="O944" s="11"/>
      <c r="P944" s="11"/>
      <c r="Q944" s="11"/>
      <c r="S944" s="11"/>
      <c r="T944" s="11"/>
      <c r="U944" s="11"/>
      <c r="V944" s="11"/>
      <c r="X944" s="11"/>
    </row>
    <row r="945"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N945" s="11"/>
      <c r="O945" s="11"/>
      <c r="P945" s="11"/>
      <c r="Q945" s="11"/>
      <c r="S945" s="11"/>
      <c r="T945" s="11"/>
      <c r="U945" s="11"/>
      <c r="V945" s="11"/>
      <c r="X945" s="11"/>
    </row>
    <row r="946"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N946" s="11"/>
      <c r="O946" s="11"/>
      <c r="P946" s="11"/>
      <c r="Q946" s="11"/>
      <c r="S946" s="11"/>
      <c r="T946" s="11"/>
      <c r="U946" s="11"/>
      <c r="V946" s="11"/>
      <c r="X946" s="11"/>
    </row>
    <row r="947"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N947" s="11"/>
      <c r="O947" s="11"/>
      <c r="P947" s="11"/>
      <c r="Q947" s="11"/>
      <c r="S947" s="11"/>
      <c r="T947" s="11"/>
      <c r="U947" s="11"/>
      <c r="V947" s="11"/>
      <c r="X947" s="11"/>
    </row>
    <row r="948"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N948" s="11"/>
      <c r="O948" s="11"/>
      <c r="P948" s="11"/>
      <c r="Q948" s="11"/>
      <c r="S948" s="11"/>
      <c r="T948" s="11"/>
      <c r="U948" s="11"/>
      <c r="V948" s="11"/>
      <c r="X948" s="11"/>
    </row>
    <row r="949"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N949" s="11"/>
      <c r="O949" s="11"/>
      <c r="P949" s="11"/>
      <c r="Q949" s="11"/>
      <c r="S949" s="11"/>
      <c r="T949" s="11"/>
      <c r="U949" s="11"/>
      <c r="V949" s="11"/>
      <c r="X949" s="11"/>
    </row>
    <row r="950"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N950" s="11"/>
      <c r="O950" s="11"/>
      <c r="P950" s="11"/>
      <c r="Q950" s="11"/>
      <c r="S950" s="11"/>
      <c r="T950" s="11"/>
      <c r="U950" s="11"/>
      <c r="V950" s="11"/>
      <c r="X950" s="11"/>
    </row>
    <row r="951"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N951" s="11"/>
      <c r="O951" s="11"/>
      <c r="P951" s="11"/>
      <c r="Q951" s="11"/>
      <c r="S951" s="11"/>
      <c r="T951" s="11"/>
      <c r="U951" s="11"/>
      <c r="V951" s="11"/>
      <c r="X951" s="11"/>
    </row>
    <row r="952"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N952" s="11"/>
      <c r="O952" s="11"/>
      <c r="P952" s="11"/>
      <c r="Q952" s="11"/>
      <c r="S952" s="11"/>
      <c r="T952" s="11"/>
      <c r="U952" s="11"/>
      <c r="V952" s="11"/>
      <c r="X952" s="11"/>
    </row>
    <row r="953"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N953" s="11"/>
      <c r="O953" s="11"/>
      <c r="P953" s="11"/>
      <c r="Q953" s="11"/>
      <c r="S953" s="11"/>
      <c r="T953" s="11"/>
      <c r="U953" s="11"/>
      <c r="V953" s="11"/>
      <c r="X953" s="11"/>
    </row>
    <row r="954"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N954" s="11"/>
      <c r="O954" s="11"/>
      <c r="P954" s="11"/>
      <c r="Q954" s="11"/>
      <c r="S954" s="11"/>
      <c r="T954" s="11"/>
      <c r="U954" s="11"/>
      <c r="V954" s="11"/>
      <c r="X954" s="11"/>
    </row>
    <row r="955"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N955" s="11"/>
      <c r="O955" s="11"/>
      <c r="P955" s="11"/>
      <c r="Q955" s="11"/>
      <c r="S955" s="11"/>
      <c r="T955" s="11"/>
      <c r="U955" s="11"/>
      <c r="V955" s="11"/>
      <c r="X955" s="11"/>
    </row>
    <row r="956"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N956" s="11"/>
      <c r="O956" s="11"/>
      <c r="P956" s="11"/>
      <c r="Q956" s="11"/>
      <c r="S956" s="11"/>
      <c r="T956" s="11"/>
      <c r="U956" s="11"/>
      <c r="V956" s="11"/>
      <c r="X956" s="11"/>
    </row>
    <row r="957"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N957" s="11"/>
      <c r="O957" s="11"/>
      <c r="P957" s="11"/>
      <c r="Q957" s="11"/>
      <c r="S957" s="11"/>
      <c r="T957" s="11"/>
      <c r="U957" s="11"/>
      <c r="V957" s="11"/>
      <c r="X957" s="11"/>
    </row>
    <row r="958"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N958" s="11"/>
      <c r="O958" s="11"/>
      <c r="P958" s="11"/>
      <c r="Q958" s="11"/>
      <c r="S958" s="11"/>
      <c r="T958" s="11"/>
      <c r="U958" s="11"/>
      <c r="V958" s="11"/>
      <c r="X958" s="11"/>
    </row>
    <row r="959"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N959" s="11"/>
      <c r="O959" s="11"/>
      <c r="P959" s="11"/>
      <c r="Q959" s="11"/>
      <c r="S959" s="11"/>
      <c r="T959" s="11"/>
      <c r="U959" s="11"/>
      <c r="V959" s="11"/>
      <c r="X959" s="11"/>
    </row>
    <row r="960"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N960" s="11"/>
      <c r="O960" s="11"/>
      <c r="P960" s="11"/>
      <c r="Q960" s="11"/>
      <c r="S960" s="11"/>
      <c r="T960" s="11"/>
      <c r="U960" s="11"/>
      <c r="V960" s="11"/>
      <c r="X960" s="11"/>
    </row>
    <row r="961"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N961" s="11"/>
      <c r="O961" s="11"/>
      <c r="P961" s="11"/>
      <c r="Q961" s="11"/>
      <c r="S961" s="11"/>
      <c r="T961" s="11"/>
      <c r="U961" s="11"/>
      <c r="V961" s="11"/>
      <c r="X961" s="11"/>
    </row>
    <row r="962"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N962" s="11"/>
      <c r="O962" s="11"/>
      <c r="P962" s="11"/>
      <c r="Q962" s="11"/>
      <c r="S962" s="11"/>
      <c r="T962" s="11"/>
      <c r="U962" s="11"/>
      <c r="V962" s="11"/>
      <c r="X962" s="11"/>
    </row>
    <row r="963"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N963" s="11"/>
      <c r="O963" s="11"/>
      <c r="P963" s="11"/>
      <c r="Q963" s="11"/>
      <c r="S963" s="11"/>
      <c r="T963" s="11"/>
      <c r="U963" s="11"/>
      <c r="V963" s="11"/>
      <c r="X963" s="11"/>
    </row>
    <row r="964"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N964" s="11"/>
      <c r="O964" s="11"/>
      <c r="P964" s="11"/>
      <c r="Q964" s="11"/>
      <c r="S964" s="11"/>
      <c r="T964" s="11"/>
      <c r="U964" s="11"/>
      <c r="V964" s="11"/>
      <c r="X964" s="11"/>
    </row>
    <row r="965"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N965" s="11"/>
      <c r="O965" s="11"/>
      <c r="P965" s="11"/>
      <c r="Q965" s="11"/>
      <c r="S965" s="11"/>
      <c r="T965" s="11"/>
      <c r="U965" s="11"/>
      <c r="V965" s="11"/>
      <c r="X965" s="11"/>
    </row>
    <row r="966"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N966" s="11"/>
      <c r="O966" s="11"/>
      <c r="P966" s="11"/>
      <c r="Q966" s="11"/>
      <c r="S966" s="11"/>
      <c r="T966" s="11"/>
      <c r="U966" s="11"/>
      <c r="V966" s="11"/>
      <c r="X966" s="11"/>
    </row>
    <row r="967"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N967" s="11"/>
      <c r="O967" s="11"/>
      <c r="P967" s="11"/>
      <c r="Q967" s="11"/>
      <c r="S967" s="11"/>
      <c r="T967" s="11"/>
      <c r="U967" s="11"/>
      <c r="V967" s="11"/>
      <c r="X967" s="11"/>
    </row>
    <row r="968"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N968" s="11"/>
      <c r="O968" s="11"/>
      <c r="P968" s="11"/>
      <c r="Q968" s="11"/>
      <c r="S968" s="11"/>
      <c r="T968" s="11"/>
      <c r="U968" s="11"/>
      <c r="V968" s="11"/>
      <c r="X968" s="11"/>
    </row>
    <row r="969"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N969" s="11"/>
      <c r="O969" s="11"/>
      <c r="P969" s="11"/>
      <c r="Q969" s="11"/>
      <c r="S969" s="11"/>
      <c r="T969" s="11"/>
      <c r="U969" s="11"/>
      <c r="V969" s="11"/>
      <c r="X969" s="11"/>
    </row>
    <row r="970"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N970" s="11"/>
      <c r="O970" s="11"/>
      <c r="P970" s="11"/>
      <c r="Q970" s="11"/>
      <c r="S970" s="11"/>
      <c r="T970" s="11"/>
      <c r="U970" s="11"/>
      <c r="V970" s="11"/>
      <c r="X970" s="11"/>
    </row>
    <row r="971"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N971" s="11"/>
      <c r="O971" s="11"/>
      <c r="P971" s="11"/>
      <c r="Q971" s="11"/>
      <c r="S971" s="11"/>
      <c r="T971" s="11"/>
      <c r="U971" s="11"/>
      <c r="V971" s="11"/>
      <c r="X971" s="11"/>
    </row>
    <row r="972"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N972" s="11"/>
      <c r="O972" s="11"/>
      <c r="P972" s="11"/>
      <c r="Q972" s="11"/>
      <c r="S972" s="11"/>
      <c r="T972" s="11"/>
      <c r="U972" s="11"/>
      <c r="V972" s="11"/>
      <c r="X972" s="11"/>
    </row>
    <row r="973"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N973" s="11"/>
      <c r="O973" s="11"/>
      <c r="P973" s="11"/>
      <c r="Q973" s="11"/>
      <c r="S973" s="11"/>
      <c r="T973" s="11"/>
      <c r="U973" s="11"/>
      <c r="V973" s="11"/>
      <c r="X973" s="11"/>
    </row>
    <row r="974"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N974" s="11"/>
      <c r="O974" s="11"/>
      <c r="P974" s="11"/>
      <c r="Q974" s="11"/>
      <c r="S974" s="11"/>
      <c r="T974" s="11"/>
      <c r="U974" s="11"/>
      <c r="V974" s="11"/>
      <c r="X974" s="11"/>
    </row>
    <row r="975"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N975" s="11"/>
      <c r="O975" s="11"/>
      <c r="P975" s="11"/>
      <c r="Q975" s="11"/>
      <c r="S975" s="11"/>
      <c r="T975" s="11"/>
      <c r="U975" s="11"/>
      <c r="V975" s="11"/>
      <c r="X975" s="11"/>
    </row>
    <row r="976"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N976" s="11"/>
      <c r="O976" s="11"/>
      <c r="P976" s="11"/>
      <c r="Q976" s="11"/>
      <c r="S976" s="11"/>
      <c r="T976" s="11"/>
      <c r="U976" s="11"/>
      <c r="V976" s="11"/>
      <c r="X976" s="11"/>
    </row>
    <row r="977"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N977" s="11"/>
      <c r="O977" s="11"/>
      <c r="P977" s="11"/>
      <c r="Q977" s="11"/>
      <c r="S977" s="11"/>
      <c r="T977" s="11"/>
      <c r="U977" s="11"/>
      <c r="V977" s="11"/>
      <c r="X977" s="11"/>
    </row>
    <row r="978"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N978" s="11"/>
      <c r="O978" s="11"/>
      <c r="P978" s="11"/>
      <c r="Q978" s="11"/>
      <c r="S978" s="11"/>
      <c r="T978" s="11"/>
      <c r="U978" s="11"/>
      <c r="V978" s="11"/>
      <c r="X978" s="11"/>
    </row>
    <row r="979"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N979" s="11"/>
      <c r="O979" s="11"/>
      <c r="P979" s="11"/>
      <c r="Q979" s="11"/>
      <c r="S979" s="11"/>
      <c r="T979" s="11"/>
      <c r="U979" s="11"/>
      <c r="V979" s="11"/>
      <c r="X979" s="11"/>
    </row>
    <row r="980"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N980" s="11"/>
      <c r="O980" s="11"/>
      <c r="P980" s="11"/>
      <c r="Q980" s="11"/>
      <c r="S980" s="11"/>
      <c r="T980" s="11"/>
      <c r="U980" s="11"/>
      <c r="V980" s="11"/>
      <c r="X980" s="11"/>
    </row>
    <row r="981"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N981" s="11"/>
      <c r="O981" s="11"/>
      <c r="P981" s="11"/>
      <c r="Q981" s="11"/>
      <c r="S981" s="11"/>
      <c r="T981" s="11"/>
      <c r="U981" s="11"/>
      <c r="V981" s="11"/>
      <c r="X981" s="11"/>
    </row>
    <row r="982"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N982" s="11"/>
      <c r="O982" s="11"/>
      <c r="P982" s="11"/>
      <c r="Q982" s="11"/>
      <c r="S982" s="11"/>
      <c r="T982" s="11"/>
      <c r="U982" s="11"/>
      <c r="V982" s="11"/>
      <c r="X982" s="11"/>
    </row>
    <row r="983"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N983" s="11"/>
      <c r="O983" s="11"/>
      <c r="P983" s="11"/>
      <c r="Q983" s="11"/>
      <c r="S983" s="11"/>
      <c r="T983" s="11"/>
      <c r="U983" s="11"/>
      <c r="V983" s="11"/>
      <c r="X983" s="11"/>
    </row>
    <row r="984"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N984" s="11"/>
      <c r="O984" s="11"/>
      <c r="P984" s="11"/>
      <c r="Q984" s="11"/>
      <c r="S984" s="11"/>
      <c r="T984" s="11"/>
      <c r="U984" s="11"/>
      <c r="V984" s="11"/>
      <c r="X984" s="11"/>
    </row>
    <row r="985"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N985" s="11"/>
      <c r="O985" s="11"/>
      <c r="P985" s="11"/>
      <c r="Q985" s="11"/>
      <c r="S985" s="11"/>
      <c r="T985" s="11"/>
      <c r="U985" s="11"/>
      <c r="V985" s="11"/>
      <c r="X985" s="11"/>
    </row>
    <row r="986"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N986" s="11"/>
      <c r="O986" s="11"/>
      <c r="P986" s="11"/>
      <c r="Q986" s="11"/>
      <c r="S986" s="11"/>
      <c r="T986" s="11"/>
      <c r="U986" s="11"/>
      <c r="V986" s="11"/>
      <c r="X986" s="11"/>
    </row>
    <row r="987"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N987" s="11"/>
      <c r="O987" s="11"/>
      <c r="P987" s="11"/>
      <c r="Q987" s="11"/>
      <c r="S987" s="11"/>
      <c r="T987" s="11"/>
      <c r="U987" s="11"/>
      <c r="V987" s="11"/>
      <c r="X987" s="11"/>
    </row>
    <row r="988"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N988" s="11"/>
      <c r="O988" s="11"/>
      <c r="P988" s="11"/>
      <c r="Q988" s="11"/>
      <c r="S988" s="11"/>
      <c r="T988" s="11"/>
      <c r="U988" s="11"/>
      <c r="V988" s="11"/>
      <c r="X988" s="11"/>
    </row>
    <row r="989"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N989" s="11"/>
      <c r="O989" s="11"/>
      <c r="P989" s="11"/>
      <c r="Q989" s="11"/>
      <c r="S989" s="11"/>
      <c r="T989" s="11"/>
      <c r="U989" s="11"/>
      <c r="V989" s="11"/>
      <c r="X989" s="11"/>
    </row>
    <row r="990"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N990" s="11"/>
      <c r="O990" s="11"/>
      <c r="P990" s="11"/>
      <c r="Q990" s="11"/>
      <c r="S990" s="11"/>
      <c r="T990" s="11"/>
      <c r="U990" s="11"/>
      <c r="V990" s="11"/>
      <c r="X990" s="11"/>
    </row>
    <row r="991"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N991" s="11"/>
      <c r="O991" s="11"/>
      <c r="P991" s="11"/>
      <c r="Q991" s="11"/>
      <c r="S991" s="11"/>
      <c r="T991" s="11"/>
      <c r="U991" s="11"/>
      <c r="V991" s="11"/>
      <c r="X991" s="11"/>
    </row>
    <row r="992"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N992" s="11"/>
      <c r="O992" s="11"/>
      <c r="P992" s="11"/>
      <c r="Q992" s="11"/>
      <c r="S992" s="11"/>
      <c r="T992" s="11"/>
      <c r="U992" s="11"/>
      <c r="V992" s="11"/>
      <c r="X992" s="11"/>
    </row>
    <row r="993"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N993" s="11"/>
      <c r="O993" s="11"/>
      <c r="P993" s="11"/>
      <c r="Q993" s="11"/>
      <c r="S993" s="11"/>
      <c r="T993" s="11"/>
      <c r="U993" s="11"/>
      <c r="V993" s="11"/>
      <c r="X993" s="11"/>
    </row>
    <row r="994"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N994" s="11"/>
      <c r="O994" s="11"/>
      <c r="P994" s="11"/>
      <c r="Q994" s="11"/>
      <c r="S994" s="11"/>
      <c r="T994" s="11"/>
      <c r="U994" s="11"/>
      <c r="V994" s="11"/>
      <c r="X994" s="11"/>
    </row>
    <row r="995"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N995" s="11"/>
      <c r="O995" s="11"/>
      <c r="P995" s="11"/>
      <c r="Q995" s="11"/>
      <c r="S995" s="11"/>
      <c r="T995" s="11"/>
      <c r="U995" s="11"/>
      <c r="V995" s="11"/>
      <c r="X995" s="11"/>
    </row>
    <row r="996"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N996" s="11"/>
      <c r="O996" s="11"/>
      <c r="P996" s="11"/>
      <c r="Q996" s="11"/>
      <c r="S996" s="11"/>
      <c r="T996" s="11"/>
      <c r="U996" s="11"/>
      <c r="V996" s="11"/>
      <c r="X996" s="11"/>
    </row>
    <row r="997"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N997" s="11"/>
      <c r="O997" s="11"/>
      <c r="P997" s="11"/>
      <c r="Q997" s="11"/>
      <c r="S997" s="11"/>
      <c r="T997" s="11"/>
      <c r="U997" s="11"/>
      <c r="V997" s="11"/>
      <c r="X997" s="11"/>
    </row>
    <row r="998"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N998" s="11"/>
      <c r="O998" s="11"/>
      <c r="P998" s="11"/>
      <c r="Q998" s="11"/>
      <c r="S998" s="11"/>
      <c r="T998" s="11"/>
      <c r="U998" s="11"/>
      <c r="V998" s="11"/>
      <c r="X998" s="11"/>
    </row>
    <row r="999"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N999" s="11"/>
      <c r="O999" s="11"/>
      <c r="P999" s="11"/>
      <c r="Q999" s="11"/>
      <c r="S999" s="11"/>
      <c r="T999" s="11"/>
      <c r="U999" s="11"/>
      <c r="V999" s="11"/>
      <c r="X999" s="11"/>
    </row>
    <row r="1000"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N1000" s="11"/>
      <c r="O1000" s="11"/>
      <c r="P1000" s="11"/>
      <c r="Q1000" s="11"/>
      <c r="S1000" s="11"/>
      <c r="T1000" s="11"/>
      <c r="U1000" s="11"/>
      <c r="V1000" s="11"/>
      <c r="X1000" s="11"/>
    </row>
  </sheetData>
  <conditionalFormatting sqref="B37:M44 O37:X44">
    <cfRule type="cellIs" dxfId="1" priority="1" operator="greaterThan">
      <formula>"85%"</formula>
    </cfRule>
  </conditionalFormatting>
  <conditionalFormatting sqref="B32:W32">
    <cfRule type="colorScale" priority="2">
      <colorScale>
        <cfvo type="formula" val="73%"/>
        <cfvo type="max"/>
        <color rgb="FFFFFFFF"/>
        <color rgb="FF57BB8A"/>
      </colorScale>
    </cfRule>
  </conditionalFormatting>
  <conditionalFormatting sqref="B2:F31 G2:H34 I2:I31 O2:Q31">
    <cfRule type="cellIs" dxfId="0" priority="3" operator="greaterThan">
      <formula>"95%"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25"/>
    <col customWidth="1" min="2" max="9" width="23.0"/>
  </cols>
  <sheetData>
    <row r="1">
      <c r="A1" s="1" t="s">
        <v>0</v>
      </c>
      <c r="B1" s="2" t="s">
        <v>3</v>
      </c>
      <c r="C1" s="2" t="s">
        <v>5</v>
      </c>
      <c r="D1" s="2" t="s">
        <v>6</v>
      </c>
      <c r="E1" s="3" t="s">
        <v>8</v>
      </c>
      <c r="F1" s="4" t="s">
        <v>11</v>
      </c>
      <c r="G1" s="4" t="s">
        <v>13</v>
      </c>
      <c r="H1" s="4" t="s">
        <v>14</v>
      </c>
      <c r="I1" s="3" t="s">
        <v>8</v>
      </c>
    </row>
    <row r="2">
      <c r="A2" s="5" t="s">
        <v>17</v>
      </c>
      <c r="B2" s="7">
        <v>0.933572710951526</v>
      </c>
      <c r="C2" s="7">
        <v>0.915441176470588</v>
      </c>
      <c r="D2" s="8">
        <v>0.936479128856624</v>
      </c>
      <c r="E2" s="8">
        <f t="shared" ref="E2:E10" si="1">AVERAGE(B2:D2)</f>
        <v>0.9284976721</v>
      </c>
      <c r="F2" s="8">
        <v>0.912087912087912</v>
      </c>
      <c r="G2" s="8">
        <v>0.927797833935018</v>
      </c>
      <c r="H2" s="8">
        <v>0.954792043399638</v>
      </c>
      <c r="I2" s="8">
        <f t="shared" ref="I2:I10" si="2">AVERAGE(F2:H2)</f>
        <v>0.9315592631</v>
      </c>
    </row>
    <row r="3">
      <c r="A3" s="5" t="s">
        <v>32</v>
      </c>
      <c r="B3" s="7">
        <v>0.947990543735224</v>
      </c>
      <c r="C3" s="7">
        <v>0.912400455062571</v>
      </c>
      <c r="D3" s="8">
        <v>0.962695547533092</v>
      </c>
      <c r="E3" s="8">
        <f t="shared" si="1"/>
        <v>0.9410288488</v>
      </c>
      <c r="F3" s="8">
        <v>0.958083832335329</v>
      </c>
      <c r="G3" s="8">
        <v>0.9425</v>
      </c>
      <c r="H3" s="8">
        <v>0.946996466431095</v>
      </c>
      <c r="I3" s="8">
        <f t="shared" si="2"/>
        <v>0.9491934329</v>
      </c>
    </row>
    <row r="4">
      <c r="A4" s="5" t="s">
        <v>33</v>
      </c>
      <c r="B4" s="7">
        <v>0.94921875</v>
      </c>
      <c r="C4" s="7">
        <v>0.951171875</v>
      </c>
      <c r="D4" s="8">
        <v>0.96826171875</v>
      </c>
      <c r="E4" s="8">
        <f t="shared" si="1"/>
        <v>0.9562174479</v>
      </c>
      <c r="F4" s="8">
        <v>0.92724609375</v>
      </c>
      <c r="G4" s="8">
        <v>0.96484375</v>
      </c>
      <c r="H4" s="8">
        <v>0.96728515625</v>
      </c>
      <c r="I4" s="8">
        <f t="shared" si="2"/>
        <v>0.953125</v>
      </c>
    </row>
    <row r="5">
      <c r="A5" s="5" t="s">
        <v>35</v>
      </c>
      <c r="B5" s="7">
        <v>0.36376953125</v>
      </c>
      <c r="C5" s="7">
        <v>0.470703125</v>
      </c>
      <c r="D5" s="8">
        <v>0.3759765625</v>
      </c>
      <c r="E5" s="8">
        <f t="shared" si="1"/>
        <v>0.4034830729</v>
      </c>
      <c r="F5" s="8">
        <v>0.4091796875</v>
      </c>
      <c r="G5" s="8">
        <v>0.33740234375</v>
      </c>
      <c r="H5" s="8">
        <v>0.408203125</v>
      </c>
      <c r="I5" s="8">
        <f t="shared" si="2"/>
        <v>0.3849283854</v>
      </c>
    </row>
    <row r="6">
      <c r="A6" s="5" t="s">
        <v>37</v>
      </c>
      <c r="B6" s="7">
        <v>0.256111145019531</v>
      </c>
      <c r="C6" s="7">
        <v>0.361740112304687</v>
      </c>
      <c r="D6" s="8">
        <v>0.20062255859375</v>
      </c>
      <c r="E6" s="8">
        <f t="shared" si="1"/>
        <v>0.2728246053</v>
      </c>
      <c r="F6" s="8">
        <v>0.30780029296875</v>
      </c>
      <c r="G6" s="8">
        <v>0.321464538574218</v>
      </c>
      <c r="H6" s="8">
        <v>0.339675903320312</v>
      </c>
      <c r="I6" s="8">
        <f t="shared" si="2"/>
        <v>0.322980245</v>
      </c>
    </row>
    <row r="7">
      <c r="A7" s="5" t="s">
        <v>40</v>
      </c>
      <c r="B7" s="7">
        <v>0.921615201900237</v>
      </c>
      <c r="C7" s="7">
        <v>0.670454545454545</v>
      </c>
      <c r="D7" s="8">
        <v>0.831223628691983</v>
      </c>
      <c r="E7" s="8">
        <f t="shared" si="1"/>
        <v>0.8077644587</v>
      </c>
      <c r="F7" s="8">
        <v>0.832</v>
      </c>
      <c r="G7" s="8">
        <v>0.922705314009661</v>
      </c>
      <c r="H7" s="8">
        <v>0.93103448275862</v>
      </c>
      <c r="I7" s="8">
        <f t="shared" si="2"/>
        <v>0.8952465989</v>
      </c>
    </row>
    <row r="8">
      <c r="A8" s="5" t="s">
        <v>43</v>
      </c>
      <c r="B8" s="7">
        <v>0.87548828125</v>
      </c>
      <c r="C8" s="7">
        <v>0.90966796875</v>
      </c>
      <c r="D8" s="8">
        <v>0.9140625</v>
      </c>
      <c r="E8" s="8">
        <f t="shared" si="1"/>
        <v>0.8997395833</v>
      </c>
      <c r="F8" s="8">
        <v>0.88330078125</v>
      </c>
      <c r="G8" s="8">
        <v>0.8359375</v>
      </c>
      <c r="H8" s="8">
        <v>0.8486328125</v>
      </c>
      <c r="I8" s="8">
        <f t="shared" si="2"/>
        <v>0.8559570313</v>
      </c>
    </row>
    <row r="9">
      <c r="A9" s="5" t="s">
        <v>46</v>
      </c>
      <c r="B9" s="7">
        <v>0.969995081160846</v>
      </c>
      <c r="C9" s="7">
        <v>0.979075425790754</v>
      </c>
      <c r="D9" s="8">
        <v>0.970402717127608</v>
      </c>
      <c r="E9" s="8">
        <f t="shared" si="1"/>
        <v>0.9731577414</v>
      </c>
      <c r="F9" s="8">
        <v>0.971953578336557</v>
      </c>
      <c r="G9" s="8">
        <v>0.973183812774256</v>
      </c>
      <c r="H9" s="8">
        <v>0.969548133595285</v>
      </c>
      <c r="I9" s="8">
        <f t="shared" si="2"/>
        <v>0.9715618416</v>
      </c>
    </row>
    <row r="10">
      <c r="A10" s="5" t="s">
        <v>47</v>
      </c>
      <c r="B10" s="7">
        <v>0.895811699550017</v>
      </c>
      <c r="C10" s="7">
        <v>0.859402460456942</v>
      </c>
      <c r="D10" s="8">
        <v>0.854271356783919</v>
      </c>
      <c r="E10" s="8">
        <f t="shared" si="1"/>
        <v>0.8698285056</v>
      </c>
      <c r="F10" s="8">
        <v>0.949623165410551</v>
      </c>
      <c r="G10" s="8">
        <v>0.884735202492211</v>
      </c>
      <c r="H10" s="8">
        <v>0.923351158645276</v>
      </c>
      <c r="I10" s="8">
        <f t="shared" si="2"/>
        <v>0.9192365088</v>
      </c>
    </row>
    <row r="11">
      <c r="A11" s="13"/>
      <c r="B11" s="14"/>
      <c r="C11" s="14"/>
      <c r="D11" s="11"/>
      <c r="E11" s="11"/>
      <c r="F11" s="11"/>
      <c r="G11" s="11"/>
      <c r="H11" s="11"/>
      <c r="I11" s="11"/>
    </row>
    <row r="12">
      <c r="A12" s="13"/>
      <c r="B12" s="14"/>
      <c r="C12" s="14"/>
      <c r="D12" s="11"/>
      <c r="E12" s="11"/>
      <c r="F12" s="11"/>
      <c r="G12" s="11"/>
      <c r="H12" s="11"/>
      <c r="I12" s="11"/>
    </row>
    <row r="13">
      <c r="B13" s="11"/>
      <c r="C13" s="11"/>
      <c r="D13" s="11"/>
      <c r="E13" s="11"/>
      <c r="F13" s="11"/>
      <c r="G13" s="11"/>
      <c r="H13" s="11"/>
      <c r="I13" s="11"/>
    </row>
    <row r="14">
      <c r="B14" s="11"/>
      <c r="C14" s="11"/>
      <c r="D14" s="11"/>
      <c r="E14" s="11"/>
      <c r="F14" s="11"/>
      <c r="G14" s="11"/>
      <c r="H14" s="11"/>
      <c r="I14" s="11"/>
    </row>
    <row r="15">
      <c r="B15" s="11"/>
      <c r="C15" s="11"/>
      <c r="D15" s="11"/>
      <c r="E15" s="11"/>
      <c r="F15" s="11"/>
      <c r="G15" s="11"/>
      <c r="H15" s="11"/>
      <c r="I15" s="11"/>
    </row>
    <row r="16">
      <c r="B16" s="11"/>
      <c r="C16" s="11"/>
      <c r="D16" s="11"/>
      <c r="E16" s="11"/>
      <c r="F16" s="11"/>
      <c r="G16" s="11"/>
      <c r="H16" s="11"/>
      <c r="I16" s="11"/>
    </row>
    <row r="17">
      <c r="B17" s="11"/>
      <c r="C17" s="11"/>
      <c r="D17" s="11"/>
      <c r="E17" s="11"/>
      <c r="F17" s="11"/>
      <c r="G17" s="11"/>
      <c r="H17" s="11"/>
      <c r="I17" s="11"/>
    </row>
    <row r="18">
      <c r="B18" s="11"/>
      <c r="C18" s="11"/>
      <c r="D18" s="11"/>
      <c r="E18" s="11"/>
      <c r="F18" s="11"/>
      <c r="G18" s="11"/>
      <c r="H18" s="11"/>
      <c r="I18" s="11"/>
    </row>
    <row r="19">
      <c r="B19" s="11"/>
      <c r="C19" s="11"/>
      <c r="D19" s="11"/>
      <c r="E19" s="11"/>
      <c r="F19" s="11"/>
      <c r="G19" s="11"/>
      <c r="H19" s="11"/>
      <c r="I19" s="11"/>
    </row>
    <row r="20">
      <c r="B20" s="11"/>
      <c r="C20" s="11"/>
      <c r="D20" s="11"/>
      <c r="E20" s="11"/>
      <c r="F20" s="11"/>
      <c r="G20" s="11"/>
      <c r="H20" s="11"/>
      <c r="I20" s="11"/>
    </row>
    <row r="21">
      <c r="B21" s="11"/>
      <c r="C21" s="11"/>
      <c r="D21" s="11"/>
      <c r="E21" s="11"/>
      <c r="F21" s="11"/>
      <c r="G21" s="11"/>
      <c r="H21" s="11"/>
      <c r="I21" s="11"/>
    </row>
    <row r="22">
      <c r="B22" s="11"/>
      <c r="C22" s="11"/>
      <c r="D22" s="11"/>
      <c r="E22" s="11"/>
      <c r="F22" s="11"/>
      <c r="G22" s="11"/>
      <c r="H22" s="11"/>
      <c r="I22" s="11"/>
    </row>
    <row r="23">
      <c r="B23" s="11"/>
      <c r="C23" s="11"/>
      <c r="D23" s="11"/>
      <c r="E23" s="11"/>
      <c r="F23" s="11"/>
      <c r="G23" s="11"/>
      <c r="H23" s="11"/>
      <c r="I23" s="11"/>
    </row>
    <row r="24">
      <c r="B24" s="11"/>
      <c r="C24" s="11"/>
      <c r="D24" s="11"/>
      <c r="E24" s="11"/>
      <c r="F24" s="11"/>
      <c r="G24" s="11"/>
      <c r="H24" s="11"/>
      <c r="I24" s="11"/>
    </row>
    <row r="25">
      <c r="B25" s="11"/>
      <c r="C25" s="11"/>
      <c r="D25" s="11"/>
      <c r="E25" s="11"/>
      <c r="F25" s="11"/>
      <c r="G25" s="11"/>
      <c r="H25" s="11"/>
      <c r="I25" s="11"/>
    </row>
    <row r="26">
      <c r="B26" s="11"/>
      <c r="C26" s="11"/>
      <c r="D26" s="11"/>
      <c r="E26" s="11"/>
      <c r="F26" s="11"/>
      <c r="G26" s="11"/>
      <c r="H26" s="11"/>
      <c r="I26" s="11"/>
    </row>
    <row r="27">
      <c r="B27" s="11"/>
      <c r="C27" s="11"/>
      <c r="D27" s="11"/>
      <c r="E27" s="11"/>
      <c r="F27" s="11"/>
      <c r="G27" s="11"/>
      <c r="H27" s="11"/>
      <c r="I27" s="11"/>
    </row>
    <row r="28">
      <c r="B28" s="11"/>
      <c r="C28" s="11"/>
      <c r="D28" s="11"/>
      <c r="E28" s="11"/>
      <c r="F28" s="11"/>
      <c r="G28" s="11"/>
      <c r="H28" s="11"/>
      <c r="I28" s="11"/>
    </row>
    <row r="29">
      <c r="B29" s="11"/>
      <c r="C29" s="11"/>
      <c r="D29" s="11"/>
      <c r="E29" s="11"/>
      <c r="F29" s="11"/>
      <c r="G29" s="11"/>
      <c r="H29" s="11"/>
      <c r="I29" s="11"/>
    </row>
    <row r="30">
      <c r="B30" s="11"/>
      <c r="C30" s="11"/>
      <c r="D30" s="11"/>
      <c r="E30" s="11"/>
      <c r="F30" s="11"/>
      <c r="G30" s="11"/>
      <c r="H30" s="11"/>
      <c r="I30" s="11"/>
    </row>
    <row r="31">
      <c r="B31" s="11"/>
      <c r="C31" s="11"/>
      <c r="D31" s="11"/>
      <c r="E31" s="11"/>
      <c r="F31" s="11"/>
      <c r="G31" s="11"/>
      <c r="H31" s="11"/>
      <c r="I31" s="11"/>
    </row>
    <row r="32">
      <c r="B32" s="11"/>
      <c r="C32" s="11"/>
      <c r="D32" s="11"/>
      <c r="E32" s="11"/>
      <c r="F32" s="11"/>
      <c r="G32" s="11"/>
      <c r="H32" s="11"/>
      <c r="I32" s="11"/>
    </row>
    <row r="33">
      <c r="B33" s="11"/>
      <c r="C33" s="11"/>
      <c r="D33" s="11"/>
      <c r="E33" s="11"/>
      <c r="F33" s="11"/>
      <c r="G33" s="11"/>
      <c r="H33" s="11"/>
      <c r="I33" s="11"/>
    </row>
    <row r="34">
      <c r="B34" s="11"/>
      <c r="C34" s="11"/>
      <c r="D34" s="11"/>
      <c r="E34" s="11"/>
      <c r="F34" s="11"/>
      <c r="G34" s="11"/>
      <c r="H34" s="11"/>
      <c r="I34" s="11"/>
    </row>
    <row r="35">
      <c r="B35" s="11"/>
      <c r="C35" s="11"/>
      <c r="D35" s="11"/>
      <c r="E35" s="11"/>
      <c r="F35" s="11"/>
      <c r="G35" s="11"/>
      <c r="H35" s="11"/>
      <c r="I35" s="11"/>
    </row>
    <row r="36">
      <c r="B36" s="11"/>
      <c r="C36" s="11"/>
      <c r="D36" s="11"/>
      <c r="E36" s="11"/>
      <c r="F36" s="11"/>
      <c r="G36" s="11"/>
      <c r="H36" s="11"/>
      <c r="I36" s="11"/>
    </row>
    <row r="37">
      <c r="B37" s="11"/>
      <c r="C37" s="11"/>
      <c r="D37" s="11"/>
      <c r="E37" s="11"/>
      <c r="F37" s="11"/>
      <c r="G37" s="11"/>
      <c r="H37" s="11"/>
      <c r="I37" s="11"/>
    </row>
    <row r="38">
      <c r="B38" s="11"/>
      <c r="C38" s="11"/>
      <c r="D38" s="11"/>
      <c r="E38" s="11"/>
      <c r="F38" s="11"/>
      <c r="G38" s="11"/>
      <c r="H38" s="11"/>
      <c r="I38" s="11"/>
    </row>
    <row r="39">
      <c r="B39" s="11"/>
      <c r="C39" s="11"/>
      <c r="D39" s="11"/>
      <c r="E39" s="11"/>
      <c r="F39" s="11"/>
      <c r="G39" s="11"/>
      <c r="H39" s="11"/>
      <c r="I39" s="11"/>
    </row>
    <row r="40">
      <c r="B40" s="11"/>
      <c r="C40" s="11"/>
      <c r="D40" s="11"/>
      <c r="E40" s="11"/>
      <c r="F40" s="11"/>
      <c r="G40" s="11"/>
      <c r="H40" s="11"/>
      <c r="I40" s="11"/>
    </row>
    <row r="41">
      <c r="B41" s="11"/>
      <c r="C41" s="11"/>
      <c r="D41" s="11"/>
      <c r="E41" s="11"/>
      <c r="F41" s="11"/>
      <c r="G41" s="11"/>
      <c r="H41" s="11"/>
      <c r="I41" s="11"/>
    </row>
    <row r="42">
      <c r="B42" s="11"/>
      <c r="C42" s="11"/>
      <c r="D42" s="11"/>
      <c r="E42" s="11"/>
      <c r="F42" s="11"/>
      <c r="G42" s="11"/>
      <c r="H42" s="11"/>
      <c r="I42" s="11"/>
    </row>
    <row r="43">
      <c r="B43" s="11"/>
      <c r="C43" s="11"/>
      <c r="D43" s="11"/>
      <c r="E43" s="11"/>
      <c r="F43" s="11"/>
      <c r="G43" s="11"/>
      <c r="H43" s="11"/>
      <c r="I43" s="11"/>
    </row>
    <row r="44">
      <c r="B44" s="11"/>
      <c r="C44" s="11"/>
      <c r="D44" s="11"/>
      <c r="E44" s="11"/>
      <c r="F44" s="11"/>
      <c r="G44" s="11"/>
      <c r="H44" s="11"/>
      <c r="I44" s="11"/>
    </row>
    <row r="45">
      <c r="B45" s="11"/>
      <c r="C45" s="11"/>
      <c r="D45" s="11"/>
      <c r="E45" s="11"/>
      <c r="F45" s="11"/>
      <c r="G45" s="11"/>
      <c r="H45" s="11"/>
      <c r="I45" s="11"/>
    </row>
    <row r="46">
      <c r="B46" s="11"/>
      <c r="C46" s="11"/>
      <c r="D46" s="11"/>
      <c r="E46" s="11"/>
      <c r="F46" s="11"/>
      <c r="G46" s="11"/>
      <c r="H46" s="11"/>
      <c r="I46" s="11"/>
    </row>
    <row r="47">
      <c r="B47" s="11"/>
      <c r="C47" s="11"/>
      <c r="D47" s="11"/>
      <c r="E47" s="11"/>
      <c r="F47" s="11"/>
      <c r="G47" s="11"/>
      <c r="H47" s="11"/>
      <c r="I47" s="11"/>
    </row>
    <row r="48">
      <c r="B48" s="11"/>
      <c r="C48" s="11"/>
      <c r="D48" s="11"/>
      <c r="E48" s="11"/>
      <c r="F48" s="11"/>
      <c r="G48" s="11"/>
      <c r="H48" s="11"/>
      <c r="I48" s="11"/>
    </row>
    <row r="49">
      <c r="B49" s="11"/>
      <c r="C49" s="11"/>
      <c r="D49" s="11"/>
      <c r="E49" s="11"/>
      <c r="F49" s="11"/>
      <c r="G49" s="11"/>
      <c r="H49" s="11"/>
      <c r="I49" s="11"/>
    </row>
    <row r="50">
      <c r="B50" s="11"/>
      <c r="C50" s="11"/>
      <c r="D50" s="11"/>
      <c r="E50" s="11"/>
      <c r="F50" s="11"/>
      <c r="G50" s="11"/>
      <c r="H50" s="11"/>
      <c r="I50" s="11"/>
    </row>
    <row r="51">
      <c r="B51" s="11"/>
      <c r="C51" s="11"/>
      <c r="D51" s="11"/>
      <c r="E51" s="11"/>
      <c r="F51" s="11"/>
      <c r="G51" s="11"/>
      <c r="H51" s="11"/>
      <c r="I51" s="11"/>
    </row>
    <row r="52">
      <c r="B52" s="11"/>
      <c r="C52" s="11"/>
      <c r="D52" s="11"/>
      <c r="E52" s="11"/>
      <c r="F52" s="11"/>
      <c r="G52" s="11"/>
      <c r="H52" s="11"/>
      <c r="I52" s="11"/>
    </row>
    <row r="53">
      <c r="B53" s="11"/>
      <c r="C53" s="11"/>
      <c r="D53" s="11"/>
      <c r="E53" s="11"/>
      <c r="F53" s="11"/>
      <c r="G53" s="11"/>
      <c r="H53" s="11"/>
      <c r="I53" s="11"/>
    </row>
    <row r="54">
      <c r="B54" s="11"/>
      <c r="C54" s="11"/>
      <c r="D54" s="11"/>
      <c r="E54" s="11"/>
      <c r="F54" s="11"/>
      <c r="G54" s="11"/>
      <c r="H54" s="11"/>
      <c r="I54" s="11"/>
    </row>
    <row r="55">
      <c r="B55" s="11"/>
      <c r="C55" s="11"/>
      <c r="D55" s="11"/>
      <c r="E55" s="11"/>
      <c r="F55" s="11"/>
      <c r="G55" s="11"/>
      <c r="H55" s="11"/>
      <c r="I55" s="11"/>
    </row>
    <row r="56">
      <c r="B56" s="11"/>
      <c r="C56" s="11"/>
      <c r="D56" s="11"/>
      <c r="E56" s="11"/>
      <c r="F56" s="11"/>
      <c r="G56" s="11"/>
      <c r="H56" s="11"/>
      <c r="I56" s="11"/>
    </row>
    <row r="57">
      <c r="B57" s="11"/>
      <c r="C57" s="11"/>
      <c r="D57" s="11"/>
      <c r="E57" s="11"/>
      <c r="F57" s="11"/>
      <c r="G57" s="11"/>
      <c r="H57" s="11"/>
      <c r="I57" s="11"/>
    </row>
    <row r="58">
      <c r="B58" s="11"/>
      <c r="C58" s="11"/>
      <c r="D58" s="11"/>
      <c r="E58" s="11"/>
      <c r="F58" s="11"/>
      <c r="G58" s="11"/>
      <c r="H58" s="11"/>
      <c r="I58" s="11"/>
    </row>
    <row r="59">
      <c r="B59" s="11"/>
      <c r="C59" s="11"/>
      <c r="D59" s="11"/>
      <c r="E59" s="11"/>
      <c r="F59" s="11"/>
      <c r="G59" s="11"/>
      <c r="H59" s="11"/>
      <c r="I59" s="11"/>
    </row>
    <row r="60">
      <c r="B60" s="11"/>
      <c r="C60" s="11"/>
      <c r="D60" s="11"/>
      <c r="E60" s="11"/>
      <c r="F60" s="11"/>
      <c r="G60" s="11"/>
      <c r="H60" s="11"/>
      <c r="I60" s="11"/>
    </row>
    <row r="61">
      <c r="B61" s="11"/>
      <c r="C61" s="11"/>
      <c r="D61" s="11"/>
      <c r="E61" s="11"/>
      <c r="F61" s="11"/>
      <c r="G61" s="11"/>
      <c r="H61" s="11"/>
      <c r="I61" s="11"/>
    </row>
    <row r="62">
      <c r="B62" s="11"/>
      <c r="C62" s="11"/>
      <c r="D62" s="11"/>
      <c r="E62" s="11"/>
      <c r="F62" s="11"/>
      <c r="G62" s="11"/>
      <c r="H62" s="11"/>
      <c r="I62" s="11"/>
    </row>
    <row r="63">
      <c r="B63" s="11"/>
      <c r="C63" s="11"/>
      <c r="D63" s="11"/>
      <c r="E63" s="11"/>
      <c r="F63" s="11"/>
      <c r="G63" s="11"/>
      <c r="H63" s="11"/>
      <c r="I63" s="11"/>
    </row>
    <row r="64">
      <c r="B64" s="11"/>
      <c r="C64" s="11"/>
      <c r="D64" s="11"/>
      <c r="E64" s="11"/>
      <c r="F64" s="11"/>
      <c r="G64" s="11"/>
      <c r="H64" s="11"/>
      <c r="I64" s="11"/>
    </row>
    <row r="65">
      <c r="B65" s="11"/>
      <c r="C65" s="11"/>
      <c r="D65" s="11"/>
      <c r="E65" s="11"/>
      <c r="F65" s="11"/>
      <c r="G65" s="11"/>
      <c r="H65" s="11"/>
      <c r="I65" s="11"/>
    </row>
    <row r="66">
      <c r="B66" s="11"/>
      <c r="C66" s="11"/>
      <c r="D66" s="11"/>
      <c r="E66" s="11"/>
      <c r="F66" s="11"/>
      <c r="G66" s="11"/>
      <c r="H66" s="11"/>
      <c r="I66" s="11"/>
    </row>
    <row r="67">
      <c r="B67" s="11"/>
      <c r="C67" s="11"/>
      <c r="D67" s="11"/>
      <c r="E67" s="11"/>
      <c r="F67" s="11"/>
      <c r="G67" s="11"/>
      <c r="H67" s="11"/>
      <c r="I67" s="11"/>
    </row>
    <row r="68">
      <c r="B68" s="11"/>
      <c r="C68" s="11"/>
      <c r="D68" s="11"/>
      <c r="E68" s="11"/>
      <c r="F68" s="11"/>
      <c r="G68" s="11"/>
      <c r="H68" s="11"/>
      <c r="I68" s="11"/>
    </row>
    <row r="69">
      <c r="B69" s="11"/>
      <c r="C69" s="11"/>
      <c r="D69" s="11"/>
      <c r="E69" s="11"/>
      <c r="F69" s="11"/>
      <c r="G69" s="11"/>
      <c r="H69" s="11"/>
      <c r="I69" s="11"/>
    </row>
    <row r="70">
      <c r="B70" s="11"/>
      <c r="C70" s="11"/>
      <c r="D70" s="11"/>
      <c r="E70" s="11"/>
      <c r="F70" s="11"/>
      <c r="G70" s="11"/>
      <c r="H70" s="11"/>
      <c r="I70" s="11"/>
    </row>
    <row r="71">
      <c r="B71" s="11"/>
      <c r="C71" s="11"/>
      <c r="D71" s="11"/>
      <c r="E71" s="11"/>
      <c r="F71" s="11"/>
      <c r="G71" s="11"/>
      <c r="H71" s="11"/>
      <c r="I71" s="11"/>
    </row>
    <row r="72">
      <c r="B72" s="11"/>
      <c r="C72" s="11"/>
      <c r="D72" s="11"/>
      <c r="E72" s="11"/>
      <c r="F72" s="11"/>
      <c r="G72" s="11"/>
      <c r="H72" s="11"/>
      <c r="I72" s="11"/>
    </row>
    <row r="73">
      <c r="B73" s="11"/>
      <c r="C73" s="11"/>
      <c r="D73" s="11"/>
      <c r="E73" s="11"/>
      <c r="F73" s="11"/>
      <c r="G73" s="11"/>
      <c r="H73" s="11"/>
      <c r="I73" s="11"/>
    </row>
    <row r="74">
      <c r="B74" s="11"/>
      <c r="C74" s="11"/>
      <c r="D74" s="11"/>
      <c r="E74" s="11"/>
      <c r="F74" s="11"/>
      <c r="G74" s="11"/>
      <c r="H74" s="11"/>
      <c r="I74" s="11"/>
    </row>
    <row r="75">
      <c r="B75" s="11"/>
      <c r="C75" s="11"/>
      <c r="D75" s="11"/>
      <c r="E75" s="11"/>
      <c r="F75" s="11"/>
      <c r="G75" s="11"/>
      <c r="H75" s="11"/>
      <c r="I75" s="11"/>
    </row>
    <row r="76">
      <c r="B76" s="11"/>
      <c r="C76" s="11"/>
      <c r="D76" s="11"/>
      <c r="E76" s="11"/>
      <c r="F76" s="11"/>
      <c r="G76" s="11"/>
      <c r="H76" s="11"/>
      <c r="I76" s="11"/>
    </row>
    <row r="77">
      <c r="B77" s="11"/>
      <c r="C77" s="11"/>
      <c r="D77" s="11"/>
      <c r="E77" s="11"/>
      <c r="F77" s="11"/>
      <c r="G77" s="11"/>
      <c r="H77" s="11"/>
      <c r="I77" s="11"/>
    </row>
    <row r="78">
      <c r="B78" s="11"/>
      <c r="C78" s="11"/>
      <c r="D78" s="11"/>
      <c r="E78" s="11"/>
      <c r="F78" s="11"/>
      <c r="G78" s="11"/>
      <c r="H78" s="11"/>
      <c r="I78" s="11"/>
    </row>
    <row r="79">
      <c r="B79" s="11"/>
      <c r="C79" s="11"/>
      <c r="D79" s="11"/>
      <c r="E79" s="11"/>
      <c r="F79" s="11"/>
      <c r="G79" s="11"/>
      <c r="H79" s="11"/>
      <c r="I79" s="11"/>
    </row>
    <row r="80">
      <c r="B80" s="11"/>
      <c r="C80" s="11"/>
      <c r="D80" s="11"/>
      <c r="E80" s="11"/>
      <c r="F80" s="11"/>
      <c r="G80" s="11"/>
      <c r="H80" s="11"/>
      <c r="I80" s="11"/>
    </row>
    <row r="81">
      <c r="B81" s="11"/>
      <c r="C81" s="11"/>
      <c r="D81" s="11"/>
      <c r="E81" s="11"/>
      <c r="F81" s="11"/>
      <c r="G81" s="11"/>
      <c r="H81" s="11"/>
      <c r="I81" s="11"/>
    </row>
    <row r="82">
      <c r="B82" s="11"/>
      <c r="C82" s="11"/>
      <c r="D82" s="11"/>
      <c r="E82" s="11"/>
      <c r="F82" s="11"/>
      <c r="G82" s="11"/>
      <c r="H82" s="11"/>
      <c r="I82" s="11"/>
    </row>
    <row r="83">
      <c r="B83" s="11"/>
      <c r="C83" s="11"/>
      <c r="D83" s="11"/>
      <c r="E83" s="11"/>
      <c r="F83" s="11"/>
      <c r="G83" s="11"/>
      <c r="H83" s="11"/>
      <c r="I83" s="11"/>
    </row>
    <row r="84">
      <c r="B84" s="11"/>
      <c r="C84" s="11"/>
      <c r="D84" s="11"/>
      <c r="E84" s="11"/>
      <c r="F84" s="11"/>
      <c r="G84" s="11"/>
      <c r="H84" s="11"/>
      <c r="I84" s="11"/>
    </row>
    <row r="85">
      <c r="B85" s="11"/>
      <c r="C85" s="11"/>
      <c r="D85" s="11"/>
      <c r="E85" s="11"/>
      <c r="F85" s="11"/>
      <c r="G85" s="11"/>
      <c r="H85" s="11"/>
      <c r="I85" s="11"/>
    </row>
    <row r="86">
      <c r="B86" s="11"/>
      <c r="C86" s="11"/>
      <c r="D86" s="11"/>
      <c r="E86" s="11"/>
      <c r="F86" s="11"/>
      <c r="G86" s="11"/>
      <c r="H86" s="11"/>
      <c r="I86" s="11"/>
    </row>
    <row r="87">
      <c r="B87" s="11"/>
      <c r="C87" s="11"/>
      <c r="D87" s="11"/>
      <c r="E87" s="11"/>
      <c r="F87" s="11"/>
      <c r="G87" s="11"/>
      <c r="H87" s="11"/>
      <c r="I87" s="11"/>
    </row>
    <row r="88">
      <c r="B88" s="11"/>
      <c r="C88" s="11"/>
      <c r="D88" s="11"/>
      <c r="E88" s="11"/>
      <c r="F88" s="11"/>
      <c r="G88" s="11"/>
      <c r="H88" s="11"/>
      <c r="I88" s="11"/>
    </row>
    <row r="89">
      <c r="B89" s="11"/>
      <c r="C89" s="11"/>
      <c r="D89" s="11"/>
      <c r="E89" s="11"/>
      <c r="F89" s="11"/>
      <c r="G89" s="11"/>
      <c r="H89" s="11"/>
      <c r="I89" s="11"/>
    </row>
    <row r="90">
      <c r="B90" s="11"/>
      <c r="C90" s="11"/>
      <c r="D90" s="11"/>
      <c r="E90" s="11"/>
      <c r="F90" s="11"/>
      <c r="G90" s="11"/>
      <c r="H90" s="11"/>
      <c r="I90" s="11"/>
    </row>
    <row r="91">
      <c r="B91" s="11"/>
      <c r="C91" s="11"/>
      <c r="D91" s="11"/>
      <c r="E91" s="11"/>
      <c r="F91" s="11"/>
      <c r="G91" s="11"/>
      <c r="H91" s="11"/>
      <c r="I91" s="11"/>
    </row>
    <row r="92">
      <c r="B92" s="11"/>
      <c r="C92" s="11"/>
      <c r="D92" s="11"/>
      <c r="E92" s="11"/>
      <c r="F92" s="11"/>
      <c r="G92" s="11"/>
      <c r="H92" s="11"/>
      <c r="I92" s="11"/>
    </row>
    <row r="93">
      <c r="B93" s="11"/>
      <c r="C93" s="11"/>
      <c r="D93" s="11"/>
      <c r="E93" s="11"/>
      <c r="F93" s="11"/>
      <c r="G93" s="11"/>
      <c r="H93" s="11"/>
      <c r="I93" s="11"/>
    </row>
    <row r="94">
      <c r="B94" s="11"/>
      <c r="C94" s="11"/>
      <c r="D94" s="11"/>
      <c r="E94" s="11"/>
      <c r="F94" s="11"/>
      <c r="G94" s="11"/>
      <c r="H94" s="11"/>
      <c r="I94" s="11"/>
    </row>
    <row r="95">
      <c r="B95" s="11"/>
      <c r="C95" s="11"/>
      <c r="D95" s="11"/>
      <c r="E95" s="11"/>
      <c r="F95" s="11"/>
      <c r="G95" s="11"/>
      <c r="H95" s="11"/>
      <c r="I95" s="11"/>
    </row>
    <row r="96">
      <c r="B96" s="11"/>
      <c r="C96" s="11"/>
      <c r="D96" s="11"/>
      <c r="E96" s="11"/>
      <c r="F96" s="11"/>
      <c r="G96" s="11"/>
      <c r="H96" s="11"/>
      <c r="I96" s="11"/>
    </row>
    <row r="97">
      <c r="B97" s="11"/>
      <c r="C97" s="11"/>
      <c r="D97" s="11"/>
      <c r="E97" s="11"/>
      <c r="F97" s="11"/>
      <c r="G97" s="11"/>
      <c r="H97" s="11"/>
      <c r="I97" s="11"/>
    </row>
    <row r="98">
      <c r="B98" s="11"/>
      <c r="C98" s="11"/>
      <c r="D98" s="11"/>
      <c r="E98" s="11"/>
      <c r="F98" s="11"/>
      <c r="G98" s="11"/>
      <c r="H98" s="11"/>
      <c r="I98" s="11"/>
    </row>
    <row r="99">
      <c r="B99" s="11"/>
      <c r="C99" s="11"/>
      <c r="D99" s="11"/>
      <c r="E99" s="11"/>
      <c r="F99" s="11"/>
      <c r="G99" s="11"/>
      <c r="H99" s="11"/>
      <c r="I99" s="11"/>
    </row>
    <row r="100">
      <c r="B100" s="11"/>
      <c r="C100" s="11"/>
      <c r="D100" s="11"/>
      <c r="E100" s="11"/>
      <c r="F100" s="11"/>
      <c r="G100" s="11"/>
      <c r="H100" s="11"/>
      <c r="I100" s="11"/>
    </row>
    <row r="101">
      <c r="B101" s="11"/>
      <c r="C101" s="11"/>
      <c r="D101" s="11"/>
      <c r="E101" s="11"/>
      <c r="F101" s="11"/>
      <c r="G101" s="11"/>
      <c r="H101" s="11"/>
      <c r="I101" s="11"/>
    </row>
    <row r="102">
      <c r="B102" s="11"/>
      <c r="C102" s="11"/>
      <c r="D102" s="11"/>
      <c r="E102" s="11"/>
      <c r="F102" s="11"/>
      <c r="G102" s="11"/>
      <c r="H102" s="11"/>
      <c r="I102" s="11"/>
    </row>
    <row r="103">
      <c r="B103" s="11"/>
      <c r="C103" s="11"/>
      <c r="D103" s="11"/>
      <c r="E103" s="11"/>
      <c r="F103" s="11"/>
      <c r="G103" s="11"/>
      <c r="H103" s="11"/>
      <c r="I103" s="11"/>
    </row>
    <row r="104">
      <c r="B104" s="11"/>
      <c r="C104" s="11"/>
      <c r="D104" s="11"/>
      <c r="E104" s="11"/>
      <c r="F104" s="11"/>
      <c r="G104" s="11"/>
      <c r="H104" s="11"/>
      <c r="I104" s="11"/>
    </row>
    <row r="105">
      <c r="B105" s="11"/>
      <c r="C105" s="11"/>
      <c r="D105" s="11"/>
      <c r="E105" s="11"/>
      <c r="F105" s="11"/>
      <c r="G105" s="11"/>
      <c r="H105" s="11"/>
      <c r="I105" s="11"/>
    </row>
    <row r="106">
      <c r="B106" s="11"/>
      <c r="C106" s="11"/>
      <c r="D106" s="11"/>
      <c r="E106" s="11"/>
      <c r="F106" s="11"/>
      <c r="G106" s="11"/>
      <c r="H106" s="11"/>
      <c r="I106" s="11"/>
    </row>
    <row r="107">
      <c r="B107" s="11"/>
      <c r="C107" s="11"/>
      <c r="D107" s="11"/>
      <c r="E107" s="11"/>
      <c r="F107" s="11"/>
      <c r="G107" s="11"/>
      <c r="H107" s="11"/>
      <c r="I107" s="11"/>
    </row>
    <row r="108">
      <c r="B108" s="11"/>
      <c r="C108" s="11"/>
      <c r="D108" s="11"/>
      <c r="E108" s="11"/>
      <c r="F108" s="11"/>
      <c r="G108" s="11"/>
      <c r="H108" s="11"/>
      <c r="I108" s="11"/>
    </row>
    <row r="109">
      <c r="B109" s="11"/>
      <c r="C109" s="11"/>
      <c r="D109" s="11"/>
      <c r="E109" s="11"/>
      <c r="F109" s="11"/>
      <c r="G109" s="11"/>
      <c r="H109" s="11"/>
      <c r="I109" s="11"/>
    </row>
    <row r="110">
      <c r="B110" s="11"/>
      <c r="C110" s="11"/>
      <c r="D110" s="11"/>
      <c r="E110" s="11"/>
      <c r="F110" s="11"/>
      <c r="G110" s="11"/>
      <c r="H110" s="11"/>
      <c r="I110" s="11"/>
    </row>
    <row r="111">
      <c r="B111" s="11"/>
      <c r="C111" s="11"/>
      <c r="D111" s="11"/>
      <c r="E111" s="11"/>
      <c r="F111" s="11"/>
      <c r="G111" s="11"/>
      <c r="H111" s="11"/>
      <c r="I111" s="11"/>
    </row>
    <row r="112">
      <c r="B112" s="11"/>
      <c r="C112" s="11"/>
      <c r="D112" s="11"/>
      <c r="E112" s="11"/>
      <c r="F112" s="11"/>
      <c r="G112" s="11"/>
      <c r="H112" s="11"/>
      <c r="I112" s="11"/>
    </row>
    <row r="113">
      <c r="B113" s="11"/>
      <c r="C113" s="11"/>
      <c r="D113" s="11"/>
      <c r="E113" s="11"/>
      <c r="F113" s="11"/>
      <c r="G113" s="11"/>
      <c r="H113" s="11"/>
      <c r="I113" s="11"/>
    </row>
    <row r="114">
      <c r="B114" s="11"/>
      <c r="C114" s="11"/>
      <c r="D114" s="11"/>
      <c r="E114" s="11"/>
      <c r="F114" s="11"/>
      <c r="G114" s="11"/>
      <c r="H114" s="11"/>
      <c r="I114" s="11"/>
    </row>
    <row r="115">
      <c r="B115" s="11"/>
      <c r="C115" s="11"/>
      <c r="D115" s="11"/>
      <c r="E115" s="11"/>
      <c r="F115" s="11"/>
      <c r="G115" s="11"/>
      <c r="H115" s="11"/>
      <c r="I115" s="11"/>
    </row>
    <row r="116">
      <c r="B116" s="11"/>
      <c r="C116" s="11"/>
      <c r="D116" s="11"/>
      <c r="E116" s="11"/>
      <c r="F116" s="11"/>
      <c r="G116" s="11"/>
      <c r="H116" s="11"/>
      <c r="I116" s="11"/>
    </row>
    <row r="117">
      <c r="B117" s="11"/>
      <c r="C117" s="11"/>
      <c r="D117" s="11"/>
      <c r="E117" s="11"/>
      <c r="F117" s="11"/>
      <c r="G117" s="11"/>
      <c r="H117" s="11"/>
      <c r="I117" s="11"/>
    </row>
    <row r="118">
      <c r="B118" s="11"/>
      <c r="C118" s="11"/>
      <c r="D118" s="11"/>
      <c r="E118" s="11"/>
      <c r="F118" s="11"/>
      <c r="G118" s="11"/>
      <c r="H118" s="11"/>
      <c r="I118" s="11"/>
    </row>
    <row r="119">
      <c r="B119" s="11"/>
      <c r="C119" s="11"/>
      <c r="D119" s="11"/>
      <c r="E119" s="11"/>
      <c r="F119" s="11"/>
      <c r="G119" s="11"/>
      <c r="H119" s="11"/>
      <c r="I119" s="11"/>
    </row>
    <row r="120">
      <c r="B120" s="11"/>
      <c r="C120" s="11"/>
      <c r="D120" s="11"/>
      <c r="E120" s="11"/>
      <c r="F120" s="11"/>
      <c r="G120" s="11"/>
      <c r="H120" s="11"/>
      <c r="I120" s="11"/>
    </row>
    <row r="121">
      <c r="B121" s="11"/>
      <c r="C121" s="11"/>
      <c r="D121" s="11"/>
      <c r="E121" s="11"/>
      <c r="F121" s="11"/>
      <c r="G121" s="11"/>
      <c r="H121" s="11"/>
      <c r="I121" s="11"/>
    </row>
    <row r="122">
      <c r="B122" s="11"/>
      <c r="C122" s="11"/>
      <c r="D122" s="11"/>
      <c r="E122" s="11"/>
      <c r="F122" s="11"/>
      <c r="G122" s="11"/>
      <c r="H122" s="11"/>
      <c r="I122" s="11"/>
    </row>
    <row r="123">
      <c r="B123" s="11"/>
      <c r="C123" s="11"/>
      <c r="D123" s="11"/>
      <c r="E123" s="11"/>
      <c r="F123" s="11"/>
      <c r="G123" s="11"/>
      <c r="H123" s="11"/>
      <c r="I123" s="11"/>
    </row>
    <row r="124">
      <c r="B124" s="11"/>
      <c r="C124" s="11"/>
      <c r="D124" s="11"/>
      <c r="E124" s="11"/>
      <c r="F124" s="11"/>
      <c r="G124" s="11"/>
      <c r="H124" s="11"/>
      <c r="I124" s="11"/>
    </row>
    <row r="125">
      <c r="B125" s="11"/>
      <c r="C125" s="11"/>
      <c r="D125" s="11"/>
      <c r="E125" s="11"/>
      <c r="F125" s="11"/>
      <c r="G125" s="11"/>
      <c r="H125" s="11"/>
      <c r="I125" s="11"/>
    </row>
    <row r="126">
      <c r="B126" s="11"/>
      <c r="C126" s="11"/>
      <c r="D126" s="11"/>
      <c r="E126" s="11"/>
      <c r="F126" s="11"/>
      <c r="G126" s="11"/>
      <c r="H126" s="11"/>
      <c r="I126" s="11"/>
    </row>
    <row r="127">
      <c r="B127" s="11"/>
      <c r="C127" s="11"/>
      <c r="D127" s="11"/>
      <c r="E127" s="11"/>
      <c r="F127" s="11"/>
      <c r="G127" s="11"/>
      <c r="H127" s="11"/>
      <c r="I127" s="11"/>
    </row>
    <row r="128">
      <c r="B128" s="11"/>
      <c r="C128" s="11"/>
      <c r="D128" s="11"/>
      <c r="E128" s="11"/>
      <c r="F128" s="11"/>
      <c r="G128" s="11"/>
      <c r="H128" s="11"/>
      <c r="I128" s="11"/>
    </row>
    <row r="129">
      <c r="B129" s="11"/>
      <c r="C129" s="11"/>
      <c r="D129" s="11"/>
      <c r="E129" s="11"/>
      <c r="F129" s="11"/>
      <c r="G129" s="11"/>
      <c r="H129" s="11"/>
      <c r="I129" s="11"/>
    </row>
    <row r="130">
      <c r="B130" s="11"/>
      <c r="C130" s="11"/>
      <c r="D130" s="11"/>
      <c r="E130" s="11"/>
      <c r="F130" s="11"/>
      <c r="G130" s="11"/>
      <c r="H130" s="11"/>
      <c r="I130" s="11"/>
    </row>
    <row r="131">
      <c r="B131" s="11"/>
      <c r="C131" s="11"/>
      <c r="D131" s="11"/>
      <c r="E131" s="11"/>
      <c r="F131" s="11"/>
      <c r="G131" s="11"/>
      <c r="H131" s="11"/>
      <c r="I131" s="11"/>
    </row>
    <row r="132">
      <c r="B132" s="11"/>
      <c r="C132" s="11"/>
      <c r="D132" s="11"/>
      <c r="E132" s="11"/>
      <c r="F132" s="11"/>
      <c r="G132" s="11"/>
      <c r="H132" s="11"/>
      <c r="I132" s="11"/>
    </row>
    <row r="133">
      <c r="B133" s="11"/>
      <c r="C133" s="11"/>
      <c r="D133" s="11"/>
      <c r="E133" s="11"/>
      <c r="F133" s="11"/>
      <c r="G133" s="11"/>
      <c r="H133" s="11"/>
      <c r="I133" s="11"/>
    </row>
    <row r="134">
      <c r="B134" s="11"/>
      <c r="C134" s="11"/>
      <c r="D134" s="11"/>
      <c r="E134" s="11"/>
      <c r="F134" s="11"/>
      <c r="G134" s="11"/>
      <c r="H134" s="11"/>
      <c r="I134" s="11"/>
    </row>
    <row r="135">
      <c r="B135" s="11"/>
      <c r="C135" s="11"/>
      <c r="D135" s="11"/>
      <c r="E135" s="11"/>
      <c r="F135" s="11"/>
      <c r="G135" s="11"/>
      <c r="H135" s="11"/>
      <c r="I135" s="11"/>
    </row>
    <row r="136">
      <c r="B136" s="11"/>
      <c r="C136" s="11"/>
      <c r="D136" s="11"/>
      <c r="E136" s="11"/>
      <c r="F136" s="11"/>
      <c r="G136" s="11"/>
      <c r="H136" s="11"/>
      <c r="I136" s="11"/>
    </row>
    <row r="137">
      <c r="B137" s="11"/>
      <c r="C137" s="11"/>
      <c r="D137" s="11"/>
      <c r="E137" s="11"/>
      <c r="F137" s="11"/>
      <c r="G137" s="11"/>
      <c r="H137" s="11"/>
      <c r="I137" s="11"/>
    </row>
    <row r="138">
      <c r="B138" s="11"/>
      <c r="C138" s="11"/>
      <c r="D138" s="11"/>
      <c r="E138" s="11"/>
      <c r="F138" s="11"/>
      <c r="G138" s="11"/>
      <c r="H138" s="11"/>
      <c r="I138" s="11"/>
    </row>
    <row r="139">
      <c r="B139" s="11"/>
      <c r="C139" s="11"/>
      <c r="D139" s="11"/>
      <c r="E139" s="11"/>
      <c r="F139" s="11"/>
      <c r="G139" s="11"/>
      <c r="H139" s="11"/>
      <c r="I139" s="11"/>
    </row>
    <row r="140">
      <c r="B140" s="11"/>
      <c r="C140" s="11"/>
      <c r="D140" s="11"/>
      <c r="E140" s="11"/>
      <c r="F140" s="11"/>
      <c r="G140" s="11"/>
      <c r="H140" s="11"/>
      <c r="I140" s="11"/>
    </row>
    <row r="141">
      <c r="B141" s="11"/>
      <c r="C141" s="11"/>
      <c r="D141" s="11"/>
      <c r="E141" s="11"/>
      <c r="F141" s="11"/>
      <c r="G141" s="11"/>
      <c r="H141" s="11"/>
      <c r="I141" s="11"/>
    </row>
    <row r="142">
      <c r="B142" s="11"/>
      <c r="C142" s="11"/>
      <c r="D142" s="11"/>
      <c r="E142" s="11"/>
      <c r="F142" s="11"/>
      <c r="G142" s="11"/>
      <c r="H142" s="11"/>
      <c r="I142" s="11"/>
    </row>
    <row r="143">
      <c r="B143" s="11"/>
      <c r="C143" s="11"/>
      <c r="D143" s="11"/>
      <c r="E143" s="11"/>
      <c r="F143" s="11"/>
      <c r="G143" s="11"/>
      <c r="H143" s="11"/>
      <c r="I143" s="11"/>
    </row>
    <row r="144">
      <c r="B144" s="11"/>
      <c r="C144" s="11"/>
      <c r="D144" s="11"/>
      <c r="E144" s="11"/>
      <c r="F144" s="11"/>
      <c r="G144" s="11"/>
      <c r="H144" s="11"/>
      <c r="I144" s="11"/>
    </row>
    <row r="145">
      <c r="B145" s="11"/>
      <c r="C145" s="11"/>
      <c r="D145" s="11"/>
      <c r="E145" s="11"/>
      <c r="F145" s="11"/>
      <c r="G145" s="11"/>
      <c r="H145" s="11"/>
      <c r="I145" s="11"/>
    </row>
    <row r="146">
      <c r="B146" s="11"/>
      <c r="C146" s="11"/>
      <c r="D146" s="11"/>
      <c r="E146" s="11"/>
      <c r="F146" s="11"/>
      <c r="G146" s="11"/>
      <c r="H146" s="11"/>
      <c r="I146" s="11"/>
    </row>
    <row r="147">
      <c r="B147" s="11"/>
      <c r="C147" s="11"/>
      <c r="D147" s="11"/>
      <c r="E147" s="11"/>
      <c r="F147" s="11"/>
      <c r="G147" s="11"/>
      <c r="H147" s="11"/>
      <c r="I147" s="11"/>
    </row>
    <row r="148">
      <c r="B148" s="11"/>
      <c r="C148" s="11"/>
      <c r="D148" s="11"/>
      <c r="E148" s="11"/>
      <c r="F148" s="11"/>
      <c r="G148" s="11"/>
      <c r="H148" s="11"/>
      <c r="I148" s="11"/>
    </row>
    <row r="149">
      <c r="B149" s="11"/>
      <c r="C149" s="11"/>
      <c r="D149" s="11"/>
      <c r="E149" s="11"/>
      <c r="F149" s="11"/>
      <c r="G149" s="11"/>
      <c r="H149" s="11"/>
      <c r="I149" s="11"/>
    </row>
    <row r="150">
      <c r="B150" s="11"/>
      <c r="C150" s="11"/>
      <c r="D150" s="11"/>
      <c r="E150" s="11"/>
      <c r="F150" s="11"/>
      <c r="G150" s="11"/>
      <c r="H150" s="11"/>
      <c r="I150" s="11"/>
    </row>
    <row r="151">
      <c r="B151" s="11"/>
      <c r="C151" s="11"/>
      <c r="D151" s="11"/>
      <c r="E151" s="11"/>
      <c r="F151" s="11"/>
      <c r="G151" s="11"/>
      <c r="H151" s="11"/>
      <c r="I151" s="11"/>
    </row>
    <row r="152">
      <c r="B152" s="11"/>
      <c r="C152" s="11"/>
      <c r="D152" s="11"/>
      <c r="E152" s="11"/>
      <c r="F152" s="11"/>
      <c r="G152" s="11"/>
      <c r="H152" s="11"/>
      <c r="I152" s="11"/>
    </row>
    <row r="153">
      <c r="B153" s="11"/>
      <c r="C153" s="11"/>
      <c r="D153" s="11"/>
      <c r="E153" s="11"/>
      <c r="F153" s="11"/>
      <c r="G153" s="11"/>
      <c r="H153" s="11"/>
      <c r="I153" s="11"/>
    </row>
    <row r="154">
      <c r="B154" s="11"/>
      <c r="C154" s="11"/>
      <c r="D154" s="11"/>
      <c r="E154" s="11"/>
      <c r="F154" s="11"/>
      <c r="G154" s="11"/>
      <c r="H154" s="11"/>
      <c r="I154" s="11"/>
    </row>
    <row r="155">
      <c r="B155" s="11"/>
      <c r="C155" s="11"/>
      <c r="D155" s="11"/>
      <c r="E155" s="11"/>
      <c r="F155" s="11"/>
      <c r="G155" s="11"/>
      <c r="H155" s="11"/>
      <c r="I155" s="11"/>
    </row>
    <row r="156">
      <c r="B156" s="11"/>
      <c r="C156" s="11"/>
      <c r="D156" s="11"/>
      <c r="E156" s="11"/>
      <c r="F156" s="11"/>
      <c r="G156" s="11"/>
      <c r="H156" s="11"/>
      <c r="I156" s="11"/>
    </row>
    <row r="157">
      <c r="B157" s="11"/>
      <c r="C157" s="11"/>
      <c r="D157" s="11"/>
      <c r="E157" s="11"/>
      <c r="F157" s="11"/>
      <c r="G157" s="11"/>
      <c r="H157" s="11"/>
      <c r="I157" s="11"/>
    </row>
    <row r="158">
      <c r="B158" s="11"/>
      <c r="C158" s="11"/>
      <c r="D158" s="11"/>
      <c r="E158" s="11"/>
      <c r="F158" s="11"/>
      <c r="G158" s="11"/>
      <c r="H158" s="11"/>
      <c r="I158" s="11"/>
    </row>
    <row r="159">
      <c r="B159" s="11"/>
      <c r="C159" s="11"/>
      <c r="D159" s="11"/>
      <c r="E159" s="11"/>
      <c r="F159" s="11"/>
      <c r="G159" s="11"/>
      <c r="H159" s="11"/>
      <c r="I159" s="11"/>
    </row>
    <row r="160">
      <c r="B160" s="11"/>
      <c r="C160" s="11"/>
      <c r="D160" s="11"/>
      <c r="E160" s="11"/>
      <c r="F160" s="11"/>
      <c r="G160" s="11"/>
      <c r="H160" s="11"/>
      <c r="I160" s="11"/>
    </row>
    <row r="161">
      <c r="B161" s="11"/>
      <c r="C161" s="11"/>
      <c r="D161" s="11"/>
      <c r="E161" s="11"/>
      <c r="F161" s="11"/>
      <c r="G161" s="11"/>
      <c r="H161" s="11"/>
      <c r="I161" s="11"/>
    </row>
    <row r="162">
      <c r="B162" s="11"/>
      <c r="C162" s="11"/>
      <c r="D162" s="11"/>
      <c r="E162" s="11"/>
      <c r="F162" s="11"/>
      <c r="G162" s="11"/>
      <c r="H162" s="11"/>
      <c r="I162" s="11"/>
    </row>
    <row r="163">
      <c r="B163" s="11"/>
      <c r="C163" s="11"/>
      <c r="D163" s="11"/>
      <c r="E163" s="11"/>
      <c r="F163" s="11"/>
      <c r="G163" s="11"/>
      <c r="H163" s="11"/>
      <c r="I163" s="11"/>
    </row>
    <row r="164">
      <c r="B164" s="11"/>
      <c r="C164" s="11"/>
      <c r="D164" s="11"/>
      <c r="E164" s="11"/>
      <c r="F164" s="11"/>
      <c r="G164" s="11"/>
      <c r="H164" s="11"/>
      <c r="I164" s="11"/>
    </row>
    <row r="165">
      <c r="B165" s="11"/>
      <c r="C165" s="11"/>
      <c r="D165" s="11"/>
      <c r="E165" s="11"/>
      <c r="F165" s="11"/>
      <c r="G165" s="11"/>
      <c r="H165" s="11"/>
      <c r="I165" s="11"/>
    </row>
    <row r="166">
      <c r="B166" s="11"/>
      <c r="C166" s="11"/>
      <c r="D166" s="11"/>
      <c r="E166" s="11"/>
      <c r="F166" s="11"/>
      <c r="G166" s="11"/>
      <c r="H166" s="11"/>
      <c r="I166" s="11"/>
    </row>
    <row r="167">
      <c r="B167" s="11"/>
      <c r="C167" s="11"/>
      <c r="D167" s="11"/>
      <c r="E167" s="11"/>
      <c r="F167" s="11"/>
      <c r="G167" s="11"/>
      <c r="H167" s="11"/>
      <c r="I167" s="11"/>
    </row>
    <row r="168">
      <c r="B168" s="11"/>
      <c r="C168" s="11"/>
      <c r="D168" s="11"/>
      <c r="E168" s="11"/>
      <c r="F168" s="11"/>
      <c r="G168" s="11"/>
      <c r="H168" s="11"/>
      <c r="I168" s="11"/>
    </row>
    <row r="169">
      <c r="B169" s="11"/>
      <c r="C169" s="11"/>
      <c r="D169" s="11"/>
      <c r="E169" s="11"/>
      <c r="F169" s="11"/>
      <c r="G169" s="11"/>
      <c r="H169" s="11"/>
      <c r="I169" s="11"/>
    </row>
    <row r="170">
      <c r="B170" s="11"/>
      <c r="C170" s="11"/>
      <c r="D170" s="11"/>
      <c r="E170" s="11"/>
      <c r="F170" s="11"/>
      <c r="G170" s="11"/>
      <c r="H170" s="11"/>
      <c r="I170" s="11"/>
    </row>
    <row r="171">
      <c r="B171" s="11"/>
      <c r="C171" s="11"/>
      <c r="D171" s="11"/>
      <c r="E171" s="11"/>
      <c r="F171" s="11"/>
      <c r="G171" s="11"/>
      <c r="H171" s="11"/>
      <c r="I171" s="11"/>
    </row>
    <row r="172">
      <c r="B172" s="11"/>
      <c r="C172" s="11"/>
      <c r="D172" s="11"/>
      <c r="E172" s="11"/>
      <c r="F172" s="11"/>
      <c r="G172" s="11"/>
      <c r="H172" s="11"/>
      <c r="I172" s="11"/>
    </row>
    <row r="173">
      <c r="B173" s="11"/>
      <c r="C173" s="11"/>
      <c r="D173" s="11"/>
      <c r="E173" s="11"/>
      <c r="F173" s="11"/>
      <c r="G173" s="11"/>
      <c r="H173" s="11"/>
      <c r="I173" s="11"/>
    </row>
    <row r="174">
      <c r="B174" s="11"/>
      <c r="C174" s="11"/>
      <c r="D174" s="11"/>
      <c r="E174" s="11"/>
      <c r="F174" s="11"/>
      <c r="G174" s="11"/>
      <c r="H174" s="11"/>
      <c r="I174" s="11"/>
    </row>
    <row r="175">
      <c r="B175" s="11"/>
      <c r="C175" s="11"/>
      <c r="D175" s="11"/>
      <c r="E175" s="11"/>
      <c r="F175" s="11"/>
      <c r="G175" s="11"/>
      <c r="H175" s="11"/>
      <c r="I175" s="11"/>
    </row>
    <row r="176">
      <c r="B176" s="11"/>
      <c r="C176" s="11"/>
      <c r="D176" s="11"/>
      <c r="E176" s="11"/>
      <c r="F176" s="11"/>
      <c r="G176" s="11"/>
      <c r="H176" s="11"/>
      <c r="I176" s="11"/>
    </row>
    <row r="177">
      <c r="B177" s="11"/>
      <c r="C177" s="11"/>
      <c r="D177" s="11"/>
      <c r="E177" s="11"/>
      <c r="F177" s="11"/>
      <c r="G177" s="11"/>
      <c r="H177" s="11"/>
      <c r="I177" s="11"/>
    </row>
    <row r="178">
      <c r="B178" s="11"/>
      <c r="C178" s="11"/>
      <c r="D178" s="11"/>
      <c r="E178" s="11"/>
      <c r="F178" s="11"/>
      <c r="G178" s="11"/>
      <c r="H178" s="11"/>
      <c r="I178" s="11"/>
    </row>
    <row r="179">
      <c r="B179" s="11"/>
      <c r="C179" s="11"/>
      <c r="D179" s="11"/>
      <c r="E179" s="11"/>
      <c r="F179" s="11"/>
      <c r="G179" s="11"/>
      <c r="H179" s="11"/>
      <c r="I179" s="11"/>
    </row>
    <row r="180">
      <c r="B180" s="11"/>
      <c r="C180" s="11"/>
      <c r="D180" s="11"/>
      <c r="E180" s="11"/>
      <c r="F180" s="11"/>
      <c r="G180" s="11"/>
      <c r="H180" s="11"/>
      <c r="I180" s="11"/>
    </row>
    <row r="181">
      <c r="B181" s="11"/>
      <c r="C181" s="11"/>
      <c r="D181" s="11"/>
      <c r="E181" s="11"/>
      <c r="F181" s="11"/>
      <c r="G181" s="11"/>
      <c r="H181" s="11"/>
      <c r="I181" s="11"/>
    </row>
    <row r="182">
      <c r="B182" s="11"/>
      <c r="C182" s="11"/>
      <c r="D182" s="11"/>
      <c r="E182" s="11"/>
      <c r="F182" s="11"/>
      <c r="G182" s="11"/>
      <c r="H182" s="11"/>
      <c r="I182" s="11"/>
    </row>
    <row r="183">
      <c r="B183" s="11"/>
      <c r="C183" s="11"/>
      <c r="D183" s="11"/>
      <c r="E183" s="11"/>
      <c r="F183" s="11"/>
      <c r="G183" s="11"/>
      <c r="H183" s="11"/>
      <c r="I183" s="11"/>
    </row>
    <row r="184">
      <c r="B184" s="11"/>
      <c r="C184" s="11"/>
      <c r="D184" s="11"/>
      <c r="E184" s="11"/>
      <c r="F184" s="11"/>
      <c r="G184" s="11"/>
      <c r="H184" s="11"/>
      <c r="I184" s="11"/>
    </row>
    <row r="185">
      <c r="B185" s="11"/>
      <c r="C185" s="11"/>
      <c r="D185" s="11"/>
      <c r="E185" s="11"/>
      <c r="F185" s="11"/>
      <c r="G185" s="11"/>
      <c r="H185" s="11"/>
      <c r="I185" s="11"/>
    </row>
    <row r="186">
      <c r="B186" s="11"/>
      <c r="C186" s="11"/>
      <c r="D186" s="11"/>
      <c r="E186" s="11"/>
      <c r="F186" s="11"/>
      <c r="G186" s="11"/>
      <c r="H186" s="11"/>
      <c r="I186" s="11"/>
    </row>
    <row r="187">
      <c r="B187" s="11"/>
      <c r="C187" s="11"/>
      <c r="D187" s="11"/>
      <c r="E187" s="11"/>
      <c r="F187" s="11"/>
      <c r="G187" s="11"/>
      <c r="H187" s="11"/>
      <c r="I187" s="11"/>
    </row>
    <row r="188">
      <c r="B188" s="11"/>
      <c r="C188" s="11"/>
      <c r="D188" s="11"/>
      <c r="E188" s="11"/>
      <c r="F188" s="11"/>
      <c r="G188" s="11"/>
      <c r="H188" s="11"/>
      <c r="I188" s="11"/>
    </row>
    <row r="189">
      <c r="B189" s="11"/>
      <c r="C189" s="11"/>
      <c r="D189" s="11"/>
      <c r="E189" s="11"/>
      <c r="F189" s="11"/>
      <c r="G189" s="11"/>
      <c r="H189" s="11"/>
      <c r="I189" s="11"/>
    </row>
    <row r="190">
      <c r="B190" s="11"/>
      <c r="C190" s="11"/>
      <c r="D190" s="11"/>
      <c r="E190" s="11"/>
      <c r="F190" s="11"/>
      <c r="G190" s="11"/>
      <c r="H190" s="11"/>
      <c r="I190" s="11"/>
    </row>
    <row r="191">
      <c r="B191" s="11"/>
      <c r="C191" s="11"/>
      <c r="D191" s="11"/>
      <c r="E191" s="11"/>
      <c r="F191" s="11"/>
      <c r="G191" s="11"/>
      <c r="H191" s="11"/>
      <c r="I191" s="11"/>
    </row>
    <row r="192">
      <c r="B192" s="11"/>
      <c r="C192" s="11"/>
      <c r="D192" s="11"/>
      <c r="E192" s="11"/>
      <c r="F192" s="11"/>
      <c r="G192" s="11"/>
      <c r="H192" s="11"/>
      <c r="I192" s="11"/>
    </row>
    <row r="193">
      <c r="B193" s="11"/>
      <c r="C193" s="11"/>
      <c r="D193" s="11"/>
      <c r="E193" s="11"/>
      <c r="F193" s="11"/>
      <c r="G193" s="11"/>
      <c r="H193" s="11"/>
      <c r="I193" s="11"/>
    </row>
    <row r="194">
      <c r="B194" s="11"/>
      <c r="C194" s="11"/>
      <c r="D194" s="11"/>
      <c r="E194" s="11"/>
      <c r="F194" s="11"/>
      <c r="G194" s="11"/>
      <c r="H194" s="11"/>
      <c r="I194" s="11"/>
    </row>
    <row r="195">
      <c r="B195" s="11"/>
      <c r="C195" s="11"/>
      <c r="D195" s="11"/>
      <c r="E195" s="11"/>
      <c r="F195" s="11"/>
      <c r="G195" s="11"/>
      <c r="H195" s="11"/>
      <c r="I195" s="11"/>
    </row>
    <row r="196">
      <c r="B196" s="11"/>
      <c r="C196" s="11"/>
      <c r="D196" s="11"/>
      <c r="E196" s="11"/>
      <c r="F196" s="11"/>
      <c r="G196" s="11"/>
      <c r="H196" s="11"/>
      <c r="I196" s="11"/>
    </row>
    <row r="197">
      <c r="B197" s="11"/>
      <c r="C197" s="11"/>
      <c r="D197" s="11"/>
      <c r="E197" s="11"/>
      <c r="F197" s="11"/>
      <c r="G197" s="11"/>
      <c r="H197" s="11"/>
      <c r="I197" s="11"/>
    </row>
    <row r="198">
      <c r="B198" s="11"/>
      <c r="C198" s="11"/>
      <c r="D198" s="11"/>
      <c r="E198" s="11"/>
      <c r="F198" s="11"/>
      <c r="G198" s="11"/>
      <c r="H198" s="11"/>
      <c r="I198" s="11"/>
    </row>
    <row r="199">
      <c r="B199" s="11"/>
      <c r="C199" s="11"/>
      <c r="D199" s="11"/>
      <c r="E199" s="11"/>
      <c r="F199" s="11"/>
      <c r="G199" s="11"/>
      <c r="H199" s="11"/>
      <c r="I199" s="11"/>
    </row>
    <row r="200">
      <c r="B200" s="11"/>
      <c r="C200" s="11"/>
      <c r="D200" s="11"/>
      <c r="E200" s="11"/>
      <c r="F200" s="11"/>
      <c r="G200" s="11"/>
      <c r="H200" s="11"/>
      <c r="I200" s="11"/>
    </row>
    <row r="201">
      <c r="B201" s="11"/>
      <c r="C201" s="11"/>
      <c r="D201" s="11"/>
      <c r="E201" s="11"/>
      <c r="F201" s="11"/>
      <c r="G201" s="11"/>
      <c r="H201" s="11"/>
      <c r="I201" s="11"/>
    </row>
    <row r="202">
      <c r="B202" s="11"/>
      <c r="C202" s="11"/>
      <c r="D202" s="11"/>
      <c r="E202" s="11"/>
      <c r="F202" s="11"/>
      <c r="G202" s="11"/>
      <c r="H202" s="11"/>
      <c r="I202" s="11"/>
    </row>
    <row r="203">
      <c r="B203" s="11"/>
      <c r="C203" s="11"/>
      <c r="D203" s="11"/>
      <c r="E203" s="11"/>
      <c r="F203" s="11"/>
      <c r="G203" s="11"/>
      <c r="H203" s="11"/>
      <c r="I203" s="11"/>
    </row>
    <row r="204">
      <c r="B204" s="11"/>
      <c r="C204" s="11"/>
      <c r="D204" s="11"/>
      <c r="E204" s="11"/>
      <c r="F204" s="11"/>
      <c r="G204" s="11"/>
      <c r="H204" s="11"/>
      <c r="I204" s="11"/>
    </row>
    <row r="205">
      <c r="B205" s="11"/>
      <c r="C205" s="11"/>
      <c r="D205" s="11"/>
      <c r="E205" s="11"/>
      <c r="F205" s="11"/>
      <c r="G205" s="11"/>
      <c r="H205" s="11"/>
      <c r="I205" s="11"/>
    </row>
    <row r="206">
      <c r="B206" s="11"/>
      <c r="C206" s="11"/>
      <c r="D206" s="11"/>
      <c r="E206" s="11"/>
      <c r="F206" s="11"/>
      <c r="G206" s="11"/>
      <c r="H206" s="11"/>
      <c r="I206" s="11"/>
    </row>
    <row r="207">
      <c r="B207" s="11"/>
      <c r="C207" s="11"/>
      <c r="D207" s="11"/>
      <c r="E207" s="11"/>
      <c r="F207" s="11"/>
      <c r="G207" s="11"/>
      <c r="H207" s="11"/>
      <c r="I207" s="11"/>
    </row>
    <row r="208">
      <c r="B208" s="11"/>
      <c r="C208" s="11"/>
      <c r="D208" s="11"/>
      <c r="E208" s="11"/>
      <c r="F208" s="11"/>
      <c r="G208" s="11"/>
      <c r="H208" s="11"/>
      <c r="I208" s="11"/>
    </row>
    <row r="209">
      <c r="B209" s="11"/>
      <c r="C209" s="11"/>
      <c r="D209" s="11"/>
      <c r="E209" s="11"/>
      <c r="F209" s="11"/>
      <c r="G209" s="11"/>
      <c r="H209" s="11"/>
      <c r="I209" s="11"/>
    </row>
    <row r="210">
      <c r="B210" s="11"/>
      <c r="C210" s="11"/>
      <c r="D210" s="11"/>
      <c r="E210" s="11"/>
      <c r="F210" s="11"/>
      <c r="G210" s="11"/>
      <c r="H210" s="11"/>
      <c r="I210" s="11"/>
    </row>
    <row r="211">
      <c r="B211" s="11"/>
      <c r="C211" s="11"/>
      <c r="D211" s="11"/>
      <c r="E211" s="11"/>
      <c r="F211" s="11"/>
      <c r="G211" s="11"/>
      <c r="H211" s="11"/>
      <c r="I211" s="11"/>
    </row>
    <row r="212">
      <c r="B212" s="11"/>
      <c r="C212" s="11"/>
      <c r="D212" s="11"/>
      <c r="E212" s="11"/>
      <c r="F212" s="11"/>
      <c r="G212" s="11"/>
      <c r="H212" s="11"/>
      <c r="I212" s="11"/>
    </row>
    <row r="213">
      <c r="B213" s="11"/>
      <c r="C213" s="11"/>
      <c r="D213" s="11"/>
      <c r="E213" s="11"/>
      <c r="F213" s="11"/>
      <c r="G213" s="11"/>
      <c r="H213" s="11"/>
      <c r="I213" s="11"/>
    </row>
    <row r="214">
      <c r="B214" s="11"/>
      <c r="C214" s="11"/>
      <c r="D214" s="11"/>
      <c r="E214" s="11"/>
      <c r="F214" s="11"/>
      <c r="G214" s="11"/>
      <c r="H214" s="11"/>
      <c r="I214" s="11"/>
    </row>
    <row r="215">
      <c r="B215" s="11"/>
      <c r="C215" s="11"/>
      <c r="D215" s="11"/>
      <c r="E215" s="11"/>
      <c r="F215" s="11"/>
      <c r="G215" s="11"/>
      <c r="H215" s="11"/>
      <c r="I215" s="11"/>
    </row>
    <row r="216">
      <c r="B216" s="11"/>
      <c r="C216" s="11"/>
      <c r="D216" s="11"/>
      <c r="E216" s="11"/>
      <c r="F216" s="11"/>
      <c r="G216" s="11"/>
      <c r="H216" s="11"/>
      <c r="I216" s="11"/>
    </row>
    <row r="217">
      <c r="B217" s="11"/>
      <c r="C217" s="11"/>
      <c r="D217" s="11"/>
      <c r="E217" s="11"/>
      <c r="F217" s="11"/>
      <c r="G217" s="11"/>
      <c r="H217" s="11"/>
      <c r="I217" s="11"/>
    </row>
    <row r="218">
      <c r="B218" s="11"/>
      <c r="C218" s="11"/>
      <c r="D218" s="11"/>
      <c r="E218" s="11"/>
      <c r="F218" s="11"/>
      <c r="G218" s="11"/>
      <c r="H218" s="11"/>
      <c r="I218" s="11"/>
    </row>
    <row r="219">
      <c r="B219" s="11"/>
      <c r="C219" s="11"/>
      <c r="D219" s="11"/>
      <c r="E219" s="11"/>
      <c r="F219" s="11"/>
      <c r="G219" s="11"/>
      <c r="H219" s="11"/>
      <c r="I219" s="11"/>
    </row>
    <row r="220">
      <c r="B220" s="11"/>
      <c r="C220" s="11"/>
      <c r="D220" s="11"/>
      <c r="E220" s="11"/>
      <c r="F220" s="11"/>
      <c r="G220" s="11"/>
      <c r="H220" s="11"/>
      <c r="I220" s="11"/>
    </row>
    <row r="221">
      <c r="B221" s="11"/>
      <c r="C221" s="11"/>
      <c r="D221" s="11"/>
      <c r="E221" s="11"/>
      <c r="F221" s="11"/>
      <c r="G221" s="11"/>
      <c r="H221" s="11"/>
      <c r="I221" s="11"/>
    </row>
    <row r="222">
      <c r="B222" s="11"/>
      <c r="C222" s="11"/>
      <c r="D222" s="11"/>
      <c r="E222" s="11"/>
      <c r="F222" s="11"/>
      <c r="G222" s="11"/>
      <c r="H222" s="11"/>
      <c r="I222" s="11"/>
    </row>
    <row r="223">
      <c r="B223" s="11"/>
      <c r="C223" s="11"/>
      <c r="D223" s="11"/>
      <c r="E223" s="11"/>
      <c r="F223" s="11"/>
      <c r="G223" s="11"/>
      <c r="H223" s="11"/>
      <c r="I223" s="11"/>
    </row>
    <row r="224">
      <c r="B224" s="11"/>
      <c r="C224" s="11"/>
      <c r="D224" s="11"/>
      <c r="E224" s="11"/>
      <c r="F224" s="11"/>
      <c r="G224" s="11"/>
      <c r="H224" s="11"/>
      <c r="I224" s="11"/>
    </row>
    <row r="225">
      <c r="B225" s="11"/>
      <c r="C225" s="11"/>
      <c r="D225" s="11"/>
      <c r="E225" s="11"/>
      <c r="F225" s="11"/>
      <c r="G225" s="11"/>
      <c r="H225" s="11"/>
      <c r="I225" s="11"/>
    </row>
    <row r="226">
      <c r="B226" s="11"/>
      <c r="C226" s="11"/>
      <c r="D226" s="11"/>
      <c r="E226" s="11"/>
      <c r="F226" s="11"/>
      <c r="G226" s="11"/>
      <c r="H226" s="11"/>
      <c r="I226" s="11"/>
    </row>
    <row r="227">
      <c r="B227" s="11"/>
      <c r="C227" s="11"/>
      <c r="D227" s="11"/>
      <c r="E227" s="11"/>
      <c r="F227" s="11"/>
      <c r="G227" s="11"/>
      <c r="H227" s="11"/>
      <c r="I227" s="11"/>
    </row>
    <row r="228">
      <c r="B228" s="11"/>
      <c r="C228" s="11"/>
      <c r="D228" s="11"/>
      <c r="E228" s="11"/>
      <c r="F228" s="11"/>
      <c r="G228" s="11"/>
      <c r="H228" s="11"/>
      <c r="I228" s="11"/>
    </row>
    <row r="229">
      <c r="B229" s="11"/>
      <c r="C229" s="11"/>
      <c r="D229" s="11"/>
      <c r="E229" s="11"/>
      <c r="F229" s="11"/>
      <c r="G229" s="11"/>
      <c r="H229" s="11"/>
      <c r="I229" s="11"/>
    </row>
    <row r="230">
      <c r="B230" s="11"/>
      <c r="C230" s="11"/>
      <c r="D230" s="11"/>
      <c r="E230" s="11"/>
      <c r="F230" s="11"/>
      <c r="G230" s="11"/>
      <c r="H230" s="11"/>
      <c r="I230" s="11"/>
    </row>
    <row r="231">
      <c r="B231" s="11"/>
      <c r="C231" s="11"/>
      <c r="D231" s="11"/>
      <c r="E231" s="11"/>
      <c r="F231" s="11"/>
      <c r="G231" s="11"/>
      <c r="H231" s="11"/>
      <c r="I231" s="11"/>
    </row>
    <row r="232">
      <c r="B232" s="11"/>
      <c r="C232" s="11"/>
      <c r="D232" s="11"/>
      <c r="E232" s="11"/>
      <c r="F232" s="11"/>
      <c r="G232" s="11"/>
      <c r="H232" s="11"/>
      <c r="I232" s="11"/>
    </row>
    <row r="233">
      <c r="B233" s="11"/>
      <c r="C233" s="11"/>
      <c r="D233" s="11"/>
      <c r="E233" s="11"/>
      <c r="F233" s="11"/>
      <c r="G233" s="11"/>
      <c r="H233" s="11"/>
      <c r="I233" s="11"/>
    </row>
    <row r="234">
      <c r="B234" s="11"/>
      <c r="C234" s="11"/>
      <c r="D234" s="11"/>
      <c r="E234" s="11"/>
      <c r="F234" s="11"/>
      <c r="G234" s="11"/>
      <c r="H234" s="11"/>
      <c r="I234" s="11"/>
    </row>
    <row r="235">
      <c r="B235" s="11"/>
      <c r="C235" s="11"/>
      <c r="D235" s="11"/>
      <c r="E235" s="11"/>
      <c r="F235" s="11"/>
      <c r="G235" s="11"/>
      <c r="H235" s="11"/>
      <c r="I235" s="11"/>
    </row>
    <row r="236">
      <c r="B236" s="11"/>
      <c r="C236" s="11"/>
      <c r="D236" s="11"/>
      <c r="E236" s="11"/>
      <c r="F236" s="11"/>
      <c r="G236" s="11"/>
      <c r="H236" s="11"/>
      <c r="I236" s="11"/>
    </row>
    <row r="237">
      <c r="B237" s="11"/>
      <c r="C237" s="11"/>
      <c r="D237" s="11"/>
      <c r="E237" s="11"/>
      <c r="F237" s="11"/>
      <c r="G237" s="11"/>
      <c r="H237" s="11"/>
      <c r="I237" s="11"/>
    </row>
    <row r="238">
      <c r="B238" s="11"/>
      <c r="C238" s="11"/>
      <c r="D238" s="11"/>
      <c r="E238" s="11"/>
      <c r="F238" s="11"/>
      <c r="G238" s="11"/>
      <c r="H238" s="11"/>
      <c r="I238" s="11"/>
    </row>
    <row r="239">
      <c r="B239" s="11"/>
      <c r="C239" s="11"/>
      <c r="D239" s="11"/>
      <c r="E239" s="11"/>
      <c r="F239" s="11"/>
      <c r="G239" s="11"/>
      <c r="H239" s="11"/>
      <c r="I239" s="11"/>
    </row>
    <row r="240">
      <c r="B240" s="11"/>
      <c r="C240" s="11"/>
      <c r="D240" s="11"/>
      <c r="E240" s="11"/>
      <c r="F240" s="11"/>
      <c r="G240" s="11"/>
      <c r="H240" s="11"/>
      <c r="I240" s="11"/>
    </row>
    <row r="241">
      <c r="B241" s="11"/>
      <c r="C241" s="11"/>
      <c r="D241" s="11"/>
      <c r="E241" s="11"/>
      <c r="F241" s="11"/>
      <c r="G241" s="11"/>
      <c r="H241" s="11"/>
      <c r="I241" s="11"/>
    </row>
    <row r="242">
      <c r="B242" s="11"/>
      <c r="C242" s="11"/>
      <c r="D242" s="11"/>
      <c r="E242" s="11"/>
      <c r="F242" s="11"/>
      <c r="G242" s="11"/>
      <c r="H242" s="11"/>
      <c r="I242" s="11"/>
    </row>
    <row r="243">
      <c r="B243" s="11"/>
      <c r="C243" s="11"/>
      <c r="D243" s="11"/>
      <c r="E243" s="11"/>
      <c r="F243" s="11"/>
      <c r="G243" s="11"/>
      <c r="H243" s="11"/>
      <c r="I243" s="11"/>
    </row>
    <row r="244">
      <c r="B244" s="11"/>
      <c r="C244" s="11"/>
      <c r="D244" s="11"/>
      <c r="E244" s="11"/>
      <c r="F244" s="11"/>
      <c r="G244" s="11"/>
      <c r="H244" s="11"/>
      <c r="I244" s="11"/>
    </row>
    <row r="245">
      <c r="B245" s="11"/>
      <c r="C245" s="11"/>
      <c r="D245" s="11"/>
      <c r="E245" s="11"/>
      <c r="F245" s="11"/>
      <c r="G245" s="11"/>
      <c r="H245" s="11"/>
      <c r="I245" s="11"/>
    </row>
    <row r="246">
      <c r="B246" s="11"/>
      <c r="C246" s="11"/>
      <c r="D246" s="11"/>
      <c r="E246" s="11"/>
      <c r="F246" s="11"/>
      <c r="G246" s="11"/>
      <c r="H246" s="11"/>
      <c r="I246" s="11"/>
    </row>
    <row r="247">
      <c r="B247" s="11"/>
      <c r="C247" s="11"/>
      <c r="D247" s="11"/>
      <c r="E247" s="11"/>
      <c r="F247" s="11"/>
      <c r="G247" s="11"/>
      <c r="H247" s="11"/>
      <c r="I247" s="11"/>
    </row>
    <row r="248">
      <c r="B248" s="11"/>
      <c r="C248" s="11"/>
      <c r="D248" s="11"/>
      <c r="E248" s="11"/>
      <c r="F248" s="11"/>
      <c r="G248" s="11"/>
      <c r="H248" s="11"/>
      <c r="I248" s="11"/>
    </row>
    <row r="249">
      <c r="B249" s="11"/>
      <c r="C249" s="11"/>
      <c r="D249" s="11"/>
      <c r="E249" s="11"/>
      <c r="F249" s="11"/>
      <c r="G249" s="11"/>
      <c r="H249" s="11"/>
      <c r="I249" s="11"/>
    </row>
    <row r="250">
      <c r="B250" s="11"/>
      <c r="C250" s="11"/>
      <c r="D250" s="11"/>
      <c r="E250" s="11"/>
      <c r="F250" s="11"/>
      <c r="G250" s="11"/>
      <c r="H250" s="11"/>
      <c r="I250" s="11"/>
    </row>
    <row r="251">
      <c r="B251" s="11"/>
      <c r="C251" s="11"/>
      <c r="D251" s="11"/>
      <c r="E251" s="11"/>
      <c r="F251" s="11"/>
      <c r="G251" s="11"/>
      <c r="H251" s="11"/>
      <c r="I251" s="11"/>
    </row>
    <row r="252">
      <c r="B252" s="11"/>
      <c r="C252" s="11"/>
      <c r="D252" s="11"/>
      <c r="E252" s="11"/>
      <c r="F252" s="11"/>
      <c r="G252" s="11"/>
      <c r="H252" s="11"/>
      <c r="I252" s="11"/>
    </row>
    <row r="253">
      <c r="B253" s="11"/>
      <c r="C253" s="11"/>
      <c r="D253" s="11"/>
      <c r="E253" s="11"/>
      <c r="F253" s="11"/>
      <c r="G253" s="11"/>
      <c r="H253" s="11"/>
      <c r="I253" s="11"/>
    </row>
    <row r="254">
      <c r="B254" s="11"/>
      <c r="C254" s="11"/>
      <c r="D254" s="11"/>
      <c r="E254" s="11"/>
      <c r="F254" s="11"/>
      <c r="G254" s="11"/>
      <c r="H254" s="11"/>
      <c r="I254" s="11"/>
    </row>
    <row r="255">
      <c r="B255" s="11"/>
      <c r="C255" s="11"/>
      <c r="D255" s="11"/>
      <c r="E255" s="11"/>
      <c r="F255" s="11"/>
      <c r="G255" s="11"/>
      <c r="H255" s="11"/>
      <c r="I255" s="11"/>
    </row>
    <row r="256">
      <c r="B256" s="11"/>
      <c r="C256" s="11"/>
      <c r="D256" s="11"/>
      <c r="E256" s="11"/>
      <c r="F256" s="11"/>
      <c r="G256" s="11"/>
      <c r="H256" s="11"/>
      <c r="I256" s="11"/>
    </row>
    <row r="257">
      <c r="B257" s="11"/>
      <c r="C257" s="11"/>
      <c r="D257" s="11"/>
      <c r="E257" s="11"/>
      <c r="F257" s="11"/>
      <c r="G257" s="11"/>
      <c r="H257" s="11"/>
      <c r="I257" s="11"/>
    </row>
    <row r="258">
      <c r="B258" s="11"/>
      <c r="C258" s="11"/>
      <c r="D258" s="11"/>
      <c r="E258" s="11"/>
      <c r="F258" s="11"/>
      <c r="G258" s="11"/>
      <c r="H258" s="11"/>
      <c r="I258" s="11"/>
    </row>
    <row r="259">
      <c r="B259" s="11"/>
      <c r="C259" s="11"/>
      <c r="D259" s="11"/>
      <c r="E259" s="11"/>
      <c r="F259" s="11"/>
      <c r="G259" s="11"/>
      <c r="H259" s="11"/>
      <c r="I259" s="11"/>
    </row>
    <row r="260">
      <c r="B260" s="11"/>
      <c r="C260" s="11"/>
      <c r="D260" s="11"/>
      <c r="E260" s="11"/>
      <c r="F260" s="11"/>
      <c r="G260" s="11"/>
      <c r="H260" s="11"/>
      <c r="I260" s="11"/>
    </row>
    <row r="261">
      <c r="B261" s="11"/>
      <c r="C261" s="11"/>
      <c r="D261" s="11"/>
      <c r="E261" s="11"/>
      <c r="F261" s="11"/>
      <c r="G261" s="11"/>
      <c r="H261" s="11"/>
      <c r="I261" s="11"/>
    </row>
    <row r="262">
      <c r="B262" s="11"/>
      <c r="C262" s="11"/>
      <c r="D262" s="11"/>
      <c r="E262" s="11"/>
      <c r="F262" s="11"/>
      <c r="G262" s="11"/>
      <c r="H262" s="11"/>
      <c r="I262" s="11"/>
    </row>
    <row r="263">
      <c r="B263" s="11"/>
      <c r="C263" s="11"/>
      <c r="D263" s="11"/>
      <c r="E263" s="11"/>
      <c r="F263" s="11"/>
      <c r="G263" s="11"/>
      <c r="H263" s="11"/>
      <c r="I263" s="11"/>
    </row>
    <row r="264">
      <c r="B264" s="11"/>
      <c r="C264" s="11"/>
      <c r="D264" s="11"/>
      <c r="E264" s="11"/>
      <c r="F264" s="11"/>
      <c r="G264" s="11"/>
      <c r="H264" s="11"/>
      <c r="I264" s="11"/>
    </row>
    <row r="265">
      <c r="B265" s="11"/>
      <c r="C265" s="11"/>
      <c r="D265" s="11"/>
      <c r="E265" s="11"/>
      <c r="F265" s="11"/>
      <c r="G265" s="11"/>
      <c r="H265" s="11"/>
      <c r="I265" s="11"/>
    </row>
    <row r="266">
      <c r="B266" s="11"/>
      <c r="C266" s="11"/>
      <c r="D266" s="11"/>
      <c r="E266" s="11"/>
      <c r="F266" s="11"/>
      <c r="G266" s="11"/>
      <c r="H266" s="11"/>
      <c r="I266" s="11"/>
    </row>
    <row r="267">
      <c r="B267" s="11"/>
      <c r="C267" s="11"/>
      <c r="D267" s="11"/>
      <c r="E267" s="11"/>
      <c r="F267" s="11"/>
      <c r="G267" s="11"/>
      <c r="H267" s="11"/>
      <c r="I267" s="11"/>
    </row>
    <row r="268">
      <c r="B268" s="11"/>
      <c r="C268" s="11"/>
      <c r="D268" s="11"/>
      <c r="E268" s="11"/>
      <c r="F268" s="11"/>
      <c r="G268" s="11"/>
      <c r="H268" s="11"/>
      <c r="I268" s="11"/>
    </row>
    <row r="269">
      <c r="B269" s="11"/>
      <c r="C269" s="11"/>
      <c r="D269" s="11"/>
      <c r="E269" s="11"/>
      <c r="F269" s="11"/>
      <c r="G269" s="11"/>
      <c r="H269" s="11"/>
      <c r="I269" s="11"/>
    </row>
    <row r="270">
      <c r="B270" s="11"/>
      <c r="C270" s="11"/>
      <c r="D270" s="11"/>
      <c r="E270" s="11"/>
      <c r="F270" s="11"/>
      <c r="G270" s="11"/>
      <c r="H270" s="11"/>
      <c r="I270" s="11"/>
    </row>
    <row r="271">
      <c r="B271" s="11"/>
      <c r="C271" s="11"/>
      <c r="D271" s="11"/>
      <c r="E271" s="11"/>
      <c r="F271" s="11"/>
      <c r="G271" s="11"/>
      <c r="H271" s="11"/>
      <c r="I271" s="11"/>
    </row>
    <row r="272">
      <c r="B272" s="11"/>
      <c r="C272" s="11"/>
      <c r="D272" s="11"/>
      <c r="E272" s="11"/>
      <c r="F272" s="11"/>
      <c r="G272" s="11"/>
      <c r="H272" s="11"/>
      <c r="I272" s="11"/>
    </row>
    <row r="273">
      <c r="B273" s="11"/>
      <c r="C273" s="11"/>
      <c r="D273" s="11"/>
      <c r="E273" s="11"/>
      <c r="F273" s="11"/>
      <c r="G273" s="11"/>
      <c r="H273" s="11"/>
      <c r="I273" s="11"/>
    </row>
    <row r="274">
      <c r="B274" s="11"/>
      <c r="C274" s="11"/>
      <c r="D274" s="11"/>
      <c r="E274" s="11"/>
      <c r="F274" s="11"/>
      <c r="G274" s="11"/>
      <c r="H274" s="11"/>
      <c r="I274" s="11"/>
    </row>
    <row r="275">
      <c r="B275" s="11"/>
      <c r="C275" s="11"/>
      <c r="D275" s="11"/>
      <c r="E275" s="11"/>
      <c r="F275" s="11"/>
      <c r="G275" s="11"/>
      <c r="H275" s="11"/>
      <c r="I275" s="11"/>
    </row>
    <row r="276">
      <c r="B276" s="11"/>
      <c r="C276" s="11"/>
      <c r="D276" s="11"/>
      <c r="E276" s="11"/>
      <c r="F276" s="11"/>
      <c r="G276" s="11"/>
      <c r="H276" s="11"/>
      <c r="I276" s="11"/>
    </row>
    <row r="277">
      <c r="B277" s="11"/>
      <c r="C277" s="11"/>
      <c r="D277" s="11"/>
      <c r="E277" s="11"/>
      <c r="F277" s="11"/>
      <c r="G277" s="11"/>
      <c r="H277" s="11"/>
      <c r="I277" s="11"/>
    </row>
    <row r="278">
      <c r="B278" s="11"/>
      <c r="C278" s="11"/>
      <c r="D278" s="11"/>
      <c r="E278" s="11"/>
      <c r="F278" s="11"/>
      <c r="G278" s="11"/>
      <c r="H278" s="11"/>
      <c r="I278" s="11"/>
    </row>
    <row r="279">
      <c r="B279" s="11"/>
      <c r="C279" s="11"/>
      <c r="D279" s="11"/>
      <c r="E279" s="11"/>
      <c r="F279" s="11"/>
      <c r="G279" s="11"/>
      <c r="H279" s="11"/>
      <c r="I279" s="11"/>
    </row>
    <row r="280">
      <c r="B280" s="11"/>
      <c r="C280" s="11"/>
      <c r="D280" s="11"/>
      <c r="E280" s="11"/>
      <c r="F280" s="11"/>
      <c r="G280" s="11"/>
      <c r="H280" s="11"/>
      <c r="I280" s="11"/>
    </row>
    <row r="281">
      <c r="B281" s="11"/>
      <c r="C281" s="11"/>
      <c r="D281" s="11"/>
      <c r="E281" s="11"/>
      <c r="F281" s="11"/>
      <c r="G281" s="11"/>
      <c r="H281" s="11"/>
      <c r="I281" s="11"/>
    </row>
    <row r="282">
      <c r="B282" s="11"/>
      <c r="C282" s="11"/>
      <c r="D282" s="11"/>
      <c r="E282" s="11"/>
      <c r="F282" s="11"/>
      <c r="G282" s="11"/>
      <c r="H282" s="11"/>
      <c r="I282" s="11"/>
    </row>
    <row r="283">
      <c r="B283" s="11"/>
      <c r="C283" s="11"/>
      <c r="D283" s="11"/>
      <c r="E283" s="11"/>
      <c r="F283" s="11"/>
      <c r="G283" s="11"/>
      <c r="H283" s="11"/>
      <c r="I283" s="11"/>
    </row>
    <row r="284">
      <c r="B284" s="11"/>
      <c r="C284" s="11"/>
      <c r="D284" s="11"/>
      <c r="E284" s="11"/>
      <c r="F284" s="11"/>
      <c r="G284" s="11"/>
      <c r="H284" s="11"/>
      <c r="I284" s="11"/>
    </row>
    <row r="285">
      <c r="B285" s="11"/>
      <c r="C285" s="11"/>
      <c r="D285" s="11"/>
      <c r="E285" s="11"/>
      <c r="F285" s="11"/>
      <c r="G285" s="11"/>
      <c r="H285" s="11"/>
      <c r="I285" s="11"/>
    </row>
    <row r="286">
      <c r="B286" s="11"/>
      <c r="C286" s="11"/>
      <c r="D286" s="11"/>
      <c r="E286" s="11"/>
      <c r="F286" s="11"/>
      <c r="G286" s="11"/>
      <c r="H286" s="11"/>
      <c r="I286" s="11"/>
    </row>
    <row r="287">
      <c r="B287" s="11"/>
      <c r="C287" s="11"/>
      <c r="D287" s="11"/>
      <c r="E287" s="11"/>
      <c r="F287" s="11"/>
      <c r="G287" s="11"/>
      <c r="H287" s="11"/>
      <c r="I287" s="11"/>
    </row>
    <row r="288">
      <c r="B288" s="11"/>
      <c r="C288" s="11"/>
      <c r="D288" s="11"/>
      <c r="E288" s="11"/>
      <c r="F288" s="11"/>
      <c r="G288" s="11"/>
      <c r="H288" s="11"/>
      <c r="I288" s="11"/>
    </row>
    <row r="289">
      <c r="B289" s="11"/>
      <c r="C289" s="11"/>
      <c r="D289" s="11"/>
      <c r="E289" s="11"/>
      <c r="F289" s="11"/>
      <c r="G289" s="11"/>
      <c r="H289" s="11"/>
      <c r="I289" s="11"/>
    </row>
    <row r="290">
      <c r="B290" s="11"/>
      <c r="C290" s="11"/>
      <c r="D290" s="11"/>
      <c r="E290" s="11"/>
      <c r="F290" s="11"/>
      <c r="G290" s="11"/>
      <c r="H290" s="11"/>
      <c r="I290" s="11"/>
    </row>
    <row r="291">
      <c r="B291" s="11"/>
      <c r="C291" s="11"/>
      <c r="D291" s="11"/>
      <c r="E291" s="11"/>
      <c r="F291" s="11"/>
      <c r="G291" s="11"/>
      <c r="H291" s="11"/>
      <c r="I291" s="11"/>
    </row>
    <row r="292">
      <c r="B292" s="11"/>
      <c r="C292" s="11"/>
      <c r="D292" s="11"/>
      <c r="E292" s="11"/>
      <c r="F292" s="11"/>
      <c r="G292" s="11"/>
      <c r="H292" s="11"/>
      <c r="I292" s="11"/>
    </row>
    <row r="293">
      <c r="B293" s="11"/>
      <c r="C293" s="11"/>
      <c r="D293" s="11"/>
      <c r="E293" s="11"/>
      <c r="F293" s="11"/>
      <c r="G293" s="11"/>
      <c r="H293" s="11"/>
      <c r="I293" s="11"/>
    </row>
    <row r="294">
      <c r="B294" s="11"/>
      <c r="C294" s="11"/>
      <c r="D294" s="11"/>
      <c r="E294" s="11"/>
      <c r="F294" s="11"/>
      <c r="G294" s="11"/>
      <c r="H294" s="11"/>
      <c r="I294" s="11"/>
    </row>
    <row r="295">
      <c r="B295" s="11"/>
      <c r="C295" s="11"/>
      <c r="D295" s="11"/>
      <c r="E295" s="11"/>
      <c r="F295" s="11"/>
      <c r="G295" s="11"/>
      <c r="H295" s="11"/>
      <c r="I295" s="11"/>
    </row>
    <row r="296">
      <c r="B296" s="11"/>
      <c r="C296" s="11"/>
      <c r="D296" s="11"/>
      <c r="E296" s="11"/>
      <c r="F296" s="11"/>
      <c r="G296" s="11"/>
      <c r="H296" s="11"/>
      <c r="I296" s="11"/>
    </row>
    <row r="297">
      <c r="B297" s="11"/>
      <c r="C297" s="11"/>
      <c r="D297" s="11"/>
      <c r="E297" s="11"/>
      <c r="F297" s="11"/>
      <c r="G297" s="11"/>
      <c r="H297" s="11"/>
      <c r="I297" s="11"/>
    </row>
    <row r="298">
      <c r="B298" s="11"/>
      <c r="C298" s="11"/>
      <c r="D298" s="11"/>
      <c r="E298" s="11"/>
      <c r="F298" s="11"/>
      <c r="G298" s="11"/>
      <c r="H298" s="11"/>
      <c r="I298" s="11"/>
    </row>
    <row r="299">
      <c r="B299" s="11"/>
      <c r="C299" s="11"/>
      <c r="D299" s="11"/>
      <c r="E299" s="11"/>
      <c r="F299" s="11"/>
      <c r="G299" s="11"/>
      <c r="H299" s="11"/>
      <c r="I299" s="11"/>
    </row>
    <row r="300">
      <c r="B300" s="11"/>
      <c r="C300" s="11"/>
      <c r="D300" s="11"/>
      <c r="E300" s="11"/>
      <c r="F300" s="11"/>
      <c r="G300" s="11"/>
      <c r="H300" s="11"/>
      <c r="I300" s="11"/>
    </row>
    <row r="301">
      <c r="B301" s="11"/>
      <c r="C301" s="11"/>
      <c r="D301" s="11"/>
      <c r="E301" s="11"/>
      <c r="F301" s="11"/>
      <c r="G301" s="11"/>
      <c r="H301" s="11"/>
      <c r="I301" s="11"/>
    </row>
    <row r="302">
      <c r="B302" s="11"/>
      <c r="C302" s="11"/>
      <c r="D302" s="11"/>
      <c r="E302" s="11"/>
      <c r="F302" s="11"/>
      <c r="G302" s="11"/>
      <c r="H302" s="11"/>
      <c r="I302" s="11"/>
    </row>
    <row r="303">
      <c r="B303" s="11"/>
      <c r="C303" s="11"/>
      <c r="D303" s="11"/>
      <c r="E303" s="11"/>
      <c r="F303" s="11"/>
      <c r="G303" s="11"/>
      <c r="H303" s="11"/>
      <c r="I303" s="11"/>
    </row>
    <row r="304">
      <c r="B304" s="11"/>
      <c r="C304" s="11"/>
      <c r="D304" s="11"/>
      <c r="E304" s="11"/>
      <c r="F304" s="11"/>
      <c r="G304" s="11"/>
      <c r="H304" s="11"/>
      <c r="I304" s="11"/>
    </row>
    <row r="305">
      <c r="B305" s="11"/>
      <c r="C305" s="11"/>
      <c r="D305" s="11"/>
      <c r="E305" s="11"/>
      <c r="F305" s="11"/>
      <c r="G305" s="11"/>
      <c r="H305" s="11"/>
      <c r="I305" s="11"/>
    </row>
    <row r="306">
      <c r="B306" s="11"/>
      <c r="C306" s="11"/>
      <c r="D306" s="11"/>
      <c r="E306" s="11"/>
      <c r="F306" s="11"/>
      <c r="G306" s="11"/>
      <c r="H306" s="11"/>
      <c r="I306" s="11"/>
    </row>
    <row r="307">
      <c r="B307" s="11"/>
      <c r="C307" s="11"/>
      <c r="D307" s="11"/>
      <c r="E307" s="11"/>
      <c r="F307" s="11"/>
      <c r="G307" s="11"/>
      <c r="H307" s="11"/>
      <c r="I307" s="11"/>
    </row>
    <row r="308">
      <c r="B308" s="11"/>
      <c r="C308" s="11"/>
      <c r="D308" s="11"/>
      <c r="E308" s="11"/>
      <c r="F308" s="11"/>
      <c r="G308" s="11"/>
      <c r="H308" s="11"/>
      <c r="I308" s="11"/>
    </row>
    <row r="309">
      <c r="B309" s="11"/>
      <c r="C309" s="11"/>
      <c r="D309" s="11"/>
      <c r="E309" s="11"/>
      <c r="F309" s="11"/>
      <c r="G309" s="11"/>
      <c r="H309" s="11"/>
      <c r="I309" s="11"/>
    </row>
    <row r="310">
      <c r="B310" s="11"/>
      <c r="C310" s="11"/>
      <c r="D310" s="11"/>
      <c r="E310" s="11"/>
      <c r="F310" s="11"/>
      <c r="G310" s="11"/>
      <c r="H310" s="11"/>
      <c r="I310" s="11"/>
    </row>
    <row r="311">
      <c r="B311" s="11"/>
      <c r="C311" s="11"/>
      <c r="D311" s="11"/>
      <c r="E311" s="11"/>
      <c r="F311" s="11"/>
      <c r="G311" s="11"/>
      <c r="H311" s="11"/>
      <c r="I311" s="11"/>
    </row>
    <row r="312">
      <c r="B312" s="11"/>
      <c r="C312" s="11"/>
      <c r="D312" s="11"/>
      <c r="E312" s="11"/>
      <c r="F312" s="11"/>
      <c r="G312" s="11"/>
      <c r="H312" s="11"/>
      <c r="I312" s="11"/>
    </row>
    <row r="313">
      <c r="B313" s="11"/>
      <c r="C313" s="11"/>
      <c r="D313" s="11"/>
      <c r="E313" s="11"/>
      <c r="F313" s="11"/>
      <c r="G313" s="11"/>
      <c r="H313" s="11"/>
      <c r="I313" s="11"/>
    </row>
    <row r="314">
      <c r="B314" s="11"/>
      <c r="C314" s="11"/>
      <c r="D314" s="11"/>
      <c r="E314" s="11"/>
      <c r="F314" s="11"/>
      <c r="G314" s="11"/>
      <c r="H314" s="11"/>
      <c r="I314" s="11"/>
    </row>
    <row r="315">
      <c r="B315" s="11"/>
      <c r="C315" s="11"/>
      <c r="D315" s="11"/>
      <c r="E315" s="11"/>
      <c r="F315" s="11"/>
      <c r="G315" s="11"/>
      <c r="H315" s="11"/>
      <c r="I315" s="11"/>
    </row>
    <row r="316">
      <c r="B316" s="11"/>
      <c r="C316" s="11"/>
      <c r="D316" s="11"/>
      <c r="E316" s="11"/>
      <c r="F316" s="11"/>
      <c r="G316" s="11"/>
      <c r="H316" s="11"/>
      <c r="I316" s="11"/>
    </row>
    <row r="317">
      <c r="B317" s="11"/>
      <c r="C317" s="11"/>
      <c r="D317" s="11"/>
      <c r="E317" s="11"/>
      <c r="F317" s="11"/>
      <c r="G317" s="11"/>
      <c r="H317" s="11"/>
      <c r="I317" s="11"/>
    </row>
    <row r="318">
      <c r="B318" s="11"/>
      <c r="C318" s="11"/>
      <c r="D318" s="11"/>
      <c r="E318" s="11"/>
      <c r="F318" s="11"/>
      <c r="G318" s="11"/>
      <c r="H318" s="11"/>
      <c r="I318" s="11"/>
    </row>
    <row r="319">
      <c r="B319" s="11"/>
      <c r="C319" s="11"/>
      <c r="D319" s="11"/>
      <c r="E319" s="11"/>
      <c r="F319" s="11"/>
      <c r="G319" s="11"/>
      <c r="H319" s="11"/>
      <c r="I319" s="11"/>
    </row>
    <row r="320">
      <c r="B320" s="11"/>
      <c r="C320" s="11"/>
      <c r="D320" s="11"/>
      <c r="E320" s="11"/>
      <c r="F320" s="11"/>
      <c r="G320" s="11"/>
      <c r="H320" s="11"/>
      <c r="I320" s="11"/>
    </row>
    <row r="321">
      <c r="B321" s="11"/>
      <c r="C321" s="11"/>
      <c r="D321" s="11"/>
      <c r="E321" s="11"/>
      <c r="F321" s="11"/>
      <c r="G321" s="11"/>
      <c r="H321" s="11"/>
      <c r="I321" s="11"/>
    </row>
    <row r="322">
      <c r="B322" s="11"/>
      <c r="C322" s="11"/>
      <c r="D322" s="11"/>
      <c r="E322" s="11"/>
      <c r="F322" s="11"/>
      <c r="G322" s="11"/>
      <c r="H322" s="11"/>
      <c r="I322" s="11"/>
    </row>
    <row r="323">
      <c r="B323" s="11"/>
      <c r="C323" s="11"/>
      <c r="D323" s="11"/>
      <c r="E323" s="11"/>
      <c r="F323" s="11"/>
      <c r="G323" s="11"/>
      <c r="H323" s="11"/>
      <c r="I323" s="11"/>
    </row>
    <row r="324">
      <c r="B324" s="11"/>
      <c r="C324" s="11"/>
      <c r="D324" s="11"/>
      <c r="E324" s="11"/>
      <c r="F324" s="11"/>
      <c r="G324" s="11"/>
      <c r="H324" s="11"/>
      <c r="I324" s="11"/>
    </row>
    <row r="325">
      <c r="B325" s="11"/>
      <c r="C325" s="11"/>
      <c r="D325" s="11"/>
      <c r="E325" s="11"/>
      <c r="F325" s="11"/>
      <c r="G325" s="11"/>
      <c r="H325" s="11"/>
      <c r="I325" s="11"/>
    </row>
    <row r="326">
      <c r="B326" s="11"/>
      <c r="C326" s="11"/>
      <c r="D326" s="11"/>
      <c r="E326" s="11"/>
      <c r="F326" s="11"/>
      <c r="G326" s="11"/>
      <c r="H326" s="11"/>
      <c r="I326" s="11"/>
    </row>
    <row r="327">
      <c r="B327" s="11"/>
      <c r="C327" s="11"/>
      <c r="D327" s="11"/>
      <c r="E327" s="11"/>
      <c r="F327" s="11"/>
      <c r="G327" s="11"/>
      <c r="H327" s="11"/>
      <c r="I327" s="11"/>
    </row>
    <row r="328">
      <c r="B328" s="11"/>
      <c r="C328" s="11"/>
      <c r="D328" s="11"/>
      <c r="E328" s="11"/>
      <c r="F328" s="11"/>
      <c r="G328" s="11"/>
      <c r="H328" s="11"/>
      <c r="I328" s="11"/>
    </row>
    <row r="329">
      <c r="B329" s="11"/>
      <c r="C329" s="11"/>
      <c r="D329" s="11"/>
      <c r="E329" s="11"/>
      <c r="F329" s="11"/>
      <c r="G329" s="11"/>
      <c r="H329" s="11"/>
      <c r="I329" s="11"/>
    </row>
    <row r="330">
      <c r="B330" s="11"/>
      <c r="C330" s="11"/>
      <c r="D330" s="11"/>
      <c r="E330" s="11"/>
      <c r="F330" s="11"/>
      <c r="G330" s="11"/>
      <c r="H330" s="11"/>
      <c r="I330" s="11"/>
    </row>
    <row r="331">
      <c r="B331" s="11"/>
      <c r="C331" s="11"/>
      <c r="D331" s="11"/>
      <c r="E331" s="11"/>
      <c r="F331" s="11"/>
      <c r="G331" s="11"/>
      <c r="H331" s="11"/>
      <c r="I331" s="11"/>
    </row>
    <row r="332">
      <c r="B332" s="11"/>
      <c r="C332" s="11"/>
      <c r="D332" s="11"/>
      <c r="E332" s="11"/>
      <c r="F332" s="11"/>
      <c r="G332" s="11"/>
      <c r="H332" s="11"/>
      <c r="I332" s="11"/>
    </row>
    <row r="333">
      <c r="B333" s="11"/>
      <c r="C333" s="11"/>
      <c r="D333" s="11"/>
      <c r="E333" s="11"/>
      <c r="F333" s="11"/>
      <c r="G333" s="11"/>
      <c r="H333" s="11"/>
      <c r="I333" s="11"/>
    </row>
    <row r="334">
      <c r="B334" s="11"/>
      <c r="C334" s="11"/>
      <c r="D334" s="11"/>
      <c r="E334" s="11"/>
      <c r="F334" s="11"/>
      <c r="G334" s="11"/>
      <c r="H334" s="11"/>
      <c r="I334" s="11"/>
    </row>
    <row r="335">
      <c r="B335" s="11"/>
      <c r="C335" s="11"/>
      <c r="D335" s="11"/>
      <c r="E335" s="11"/>
      <c r="F335" s="11"/>
      <c r="G335" s="11"/>
      <c r="H335" s="11"/>
      <c r="I335" s="11"/>
    </row>
    <row r="336">
      <c r="B336" s="11"/>
      <c r="C336" s="11"/>
      <c r="D336" s="11"/>
      <c r="E336" s="11"/>
      <c r="F336" s="11"/>
      <c r="G336" s="11"/>
      <c r="H336" s="11"/>
      <c r="I336" s="11"/>
    </row>
    <row r="337">
      <c r="B337" s="11"/>
      <c r="C337" s="11"/>
      <c r="D337" s="11"/>
      <c r="E337" s="11"/>
      <c r="F337" s="11"/>
      <c r="G337" s="11"/>
      <c r="H337" s="11"/>
      <c r="I337" s="11"/>
    </row>
    <row r="338">
      <c r="B338" s="11"/>
      <c r="C338" s="11"/>
      <c r="D338" s="11"/>
      <c r="E338" s="11"/>
      <c r="F338" s="11"/>
      <c r="G338" s="11"/>
      <c r="H338" s="11"/>
      <c r="I338" s="11"/>
    </row>
    <row r="339">
      <c r="B339" s="11"/>
      <c r="C339" s="11"/>
      <c r="D339" s="11"/>
      <c r="E339" s="11"/>
      <c r="F339" s="11"/>
      <c r="G339" s="11"/>
      <c r="H339" s="11"/>
      <c r="I339" s="11"/>
    </row>
    <row r="340">
      <c r="B340" s="11"/>
      <c r="C340" s="11"/>
      <c r="D340" s="11"/>
      <c r="E340" s="11"/>
      <c r="F340" s="11"/>
      <c r="G340" s="11"/>
      <c r="H340" s="11"/>
      <c r="I340" s="11"/>
    </row>
    <row r="341">
      <c r="B341" s="11"/>
      <c r="C341" s="11"/>
      <c r="D341" s="11"/>
      <c r="E341" s="11"/>
      <c r="F341" s="11"/>
      <c r="G341" s="11"/>
      <c r="H341" s="11"/>
      <c r="I341" s="11"/>
    </row>
    <row r="342">
      <c r="B342" s="11"/>
      <c r="C342" s="11"/>
      <c r="D342" s="11"/>
      <c r="E342" s="11"/>
      <c r="F342" s="11"/>
      <c r="G342" s="11"/>
      <c r="H342" s="11"/>
      <c r="I342" s="11"/>
    </row>
    <row r="343">
      <c r="B343" s="11"/>
      <c r="C343" s="11"/>
      <c r="D343" s="11"/>
      <c r="E343" s="11"/>
      <c r="F343" s="11"/>
      <c r="G343" s="11"/>
      <c r="H343" s="11"/>
      <c r="I343" s="11"/>
    </row>
    <row r="344">
      <c r="B344" s="11"/>
      <c r="C344" s="11"/>
      <c r="D344" s="11"/>
      <c r="E344" s="11"/>
      <c r="F344" s="11"/>
      <c r="G344" s="11"/>
      <c r="H344" s="11"/>
      <c r="I344" s="11"/>
    </row>
    <row r="345">
      <c r="B345" s="11"/>
      <c r="C345" s="11"/>
      <c r="D345" s="11"/>
      <c r="E345" s="11"/>
      <c r="F345" s="11"/>
      <c r="G345" s="11"/>
      <c r="H345" s="11"/>
      <c r="I345" s="11"/>
    </row>
    <row r="346">
      <c r="B346" s="11"/>
      <c r="C346" s="11"/>
      <c r="D346" s="11"/>
      <c r="E346" s="11"/>
      <c r="F346" s="11"/>
      <c r="G346" s="11"/>
      <c r="H346" s="11"/>
      <c r="I346" s="11"/>
    </row>
    <row r="347">
      <c r="B347" s="11"/>
      <c r="C347" s="11"/>
      <c r="D347" s="11"/>
      <c r="E347" s="11"/>
      <c r="F347" s="11"/>
      <c r="G347" s="11"/>
      <c r="H347" s="11"/>
      <c r="I347" s="11"/>
    </row>
    <row r="348">
      <c r="B348" s="11"/>
      <c r="C348" s="11"/>
      <c r="D348" s="11"/>
      <c r="E348" s="11"/>
      <c r="F348" s="11"/>
      <c r="G348" s="11"/>
      <c r="H348" s="11"/>
      <c r="I348" s="11"/>
    </row>
    <row r="349">
      <c r="B349" s="11"/>
      <c r="C349" s="11"/>
      <c r="D349" s="11"/>
      <c r="E349" s="11"/>
      <c r="F349" s="11"/>
      <c r="G349" s="11"/>
      <c r="H349" s="11"/>
      <c r="I349" s="11"/>
    </row>
    <row r="350">
      <c r="B350" s="11"/>
      <c r="C350" s="11"/>
      <c r="D350" s="11"/>
      <c r="E350" s="11"/>
      <c r="F350" s="11"/>
      <c r="G350" s="11"/>
      <c r="H350" s="11"/>
      <c r="I350" s="11"/>
    </row>
    <row r="351">
      <c r="B351" s="11"/>
      <c r="C351" s="11"/>
      <c r="D351" s="11"/>
      <c r="E351" s="11"/>
      <c r="F351" s="11"/>
      <c r="G351" s="11"/>
      <c r="H351" s="11"/>
      <c r="I351" s="11"/>
    </row>
    <row r="352">
      <c r="B352" s="11"/>
      <c r="C352" s="11"/>
      <c r="D352" s="11"/>
      <c r="E352" s="11"/>
      <c r="F352" s="11"/>
      <c r="G352" s="11"/>
      <c r="H352" s="11"/>
      <c r="I352" s="11"/>
    </row>
    <row r="353">
      <c r="B353" s="11"/>
      <c r="C353" s="11"/>
      <c r="D353" s="11"/>
      <c r="E353" s="11"/>
      <c r="F353" s="11"/>
      <c r="G353" s="11"/>
      <c r="H353" s="11"/>
      <c r="I353" s="11"/>
    </row>
    <row r="354">
      <c r="B354" s="11"/>
      <c r="C354" s="11"/>
      <c r="D354" s="11"/>
      <c r="E354" s="11"/>
      <c r="F354" s="11"/>
      <c r="G354" s="11"/>
      <c r="H354" s="11"/>
      <c r="I354" s="11"/>
    </row>
    <row r="355">
      <c r="B355" s="11"/>
      <c r="C355" s="11"/>
      <c r="D355" s="11"/>
      <c r="E355" s="11"/>
      <c r="F355" s="11"/>
      <c r="G355" s="11"/>
      <c r="H355" s="11"/>
      <c r="I355" s="11"/>
    </row>
    <row r="356">
      <c r="B356" s="11"/>
      <c r="C356" s="11"/>
      <c r="D356" s="11"/>
      <c r="E356" s="11"/>
      <c r="F356" s="11"/>
      <c r="G356" s="11"/>
      <c r="H356" s="11"/>
      <c r="I356" s="11"/>
    </row>
    <row r="357">
      <c r="B357" s="11"/>
      <c r="C357" s="11"/>
      <c r="D357" s="11"/>
      <c r="E357" s="11"/>
      <c r="F357" s="11"/>
      <c r="G357" s="11"/>
      <c r="H357" s="11"/>
      <c r="I357" s="11"/>
    </row>
    <row r="358">
      <c r="B358" s="11"/>
      <c r="C358" s="11"/>
      <c r="D358" s="11"/>
      <c r="E358" s="11"/>
      <c r="F358" s="11"/>
      <c r="G358" s="11"/>
      <c r="H358" s="11"/>
      <c r="I358" s="11"/>
    </row>
    <row r="359">
      <c r="B359" s="11"/>
      <c r="C359" s="11"/>
      <c r="D359" s="11"/>
      <c r="E359" s="11"/>
      <c r="F359" s="11"/>
      <c r="G359" s="11"/>
      <c r="H359" s="11"/>
      <c r="I359" s="11"/>
    </row>
    <row r="360">
      <c r="B360" s="11"/>
      <c r="C360" s="11"/>
      <c r="D360" s="11"/>
      <c r="E360" s="11"/>
      <c r="F360" s="11"/>
      <c r="G360" s="11"/>
      <c r="H360" s="11"/>
      <c r="I360" s="11"/>
    </row>
    <row r="361">
      <c r="B361" s="11"/>
      <c r="C361" s="11"/>
      <c r="D361" s="11"/>
      <c r="E361" s="11"/>
      <c r="F361" s="11"/>
      <c r="G361" s="11"/>
      <c r="H361" s="11"/>
      <c r="I361" s="11"/>
    </row>
    <row r="362">
      <c r="B362" s="11"/>
      <c r="C362" s="11"/>
      <c r="D362" s="11"/>
      <c r="E362" s="11"/>
      <c r="F362" s="11"/>
      <c r="G362" s="11"/>
      <c r="H362" s="11"/>
      <c r="I362" s="11"/>
    </row>
    <row r="363">
      <c r="B363" s="11"/>
      <c r="C363" s="11"/>
      <c r="D363" s="11"/>
      <c r="E363" s="11"/>
      <c r="F363" s="11"/>
      <c r="G363" s="11"/>
      <c r="H363" s="11"/>
      <c r="I363" s="11"/>
    </row>
    <row r="364">
      <c r="B364" s="11"/>
      <c r="C364" s="11"/>
      <c r="D364" s="11"/>
      <c r="E364" s="11"/>
      <c r="F364" s="11"/>
      <c r="G364" s="11"/>
      <c r="H364" s="11"/>
      <c r="I364" s="11"/>
    </row>
    <row r="365">
      <c r="B365" s="11"/>
      <c r="C365" s="11"/>
      <c r="D365" s="11"/>
      <c r="E365" s="11"/>
      <c r="F365" s="11"/>
      <c r="G365" s="11"/>
      <c r="H365" s="11"/>
      <c r="I365" s="11"/>
    </row>
    <row r="366">
      <c r="B366" s="11"/>
      <c r="C366" s="11"/>
      <c r="D366" s="11"/>
      <c r="E366" s="11"/>
      <c r="F366" s="11"/>
      <c r="G366" s="11"/>
      <c r="H366" s="11"/>
      <c r="I366" s="11"/>
    </row>
    <row r="367">
      <c r="B367" s="11"/>
      <c r="C367" s="11"/>
      <c r="D367" s="11"/>
      <c r="E367" s="11"/>
      <c r="F367" s="11"/>
      <c r="G367" s="11"/>
      <c r="H367" s="11"/>
      <c r="I367" s="11"/>
    </row>
    <row r="368">
      <c r="B368" s="11"/>
      <c r="C368" s="11"/>
      <c r="D368" s="11"/>
      <c r="E368" s="11"/>
      <c r="F368" s="11"/>
      <c r="G368" s="11"/>
      <c r="H368" s="11"/>
      <c r="I368" s="11"/>
    </row>
    <row r="369">
      <c r="B369" s="11"/>
      <c r="C369" s="11"/>
      <c r="D369" s="11"/>
      <c r="E369" s="11"/>
      <c r="F369" s="11"/>
      <c r="G369" s="11"/>
      <c r="H369" s="11"/>
      <c r="I369" s="11"/>
    </row>
    <row r="370">
      <c r="B370" s="11"/>
      <c r="C370" s="11"/>
      <c r="D370" s="11"/>
      <c r="E370" s="11"/>
      <c r="F370" s="11"/>
      <c r="G370" s="11"/>
      <c r="H370" s="11"/>
      <c r="I370" s="11"/>
    </row>
    <row r="371">
      <c r="B371" s="11"/>
      <c r="C371" s="11"/>
      <c r="D371" s="11"/>
      <c r="E371" s="11"/>
      <c r="F371" s="11"/>
      <c r="G371" s="11"/>
      <c r="H371" s="11"/>
      <c r="I371" s="11"/>
    </row>
    <row r="372">
      <c r="B372" s="11"/>
      <c r="C372" s="11"/>
      <c r="D372" s="11"/>
      <c r="E372" s="11"/>
      <c r="F372" s="11"/>
      <c r="G372" s="11"/>
      <c r="H372" s="11"/>
      <c r="I372" s="11"/>
    </row>
    <row r="373">
      <c r="B373" s="11"/>
      <c r="C373" s="11"/>
      <c r="D373" s="11"/>
      <c r="E373" s="11"/>
      <c r="F373" s="11"/>
      <c r="G373" s="11"/>
      <c r="H373" s="11"/>
      <c r="I373" s="11"/>
    </row>
    <row r="374">
      <c r="B374" s="11"/>
      <c r="C374" s="11"/>
      <c r="D374" s="11"/>
      <c r="E374" s="11"/>
      <c r="F374" s="11"/>
      <c r="G374" s="11"/>
      <c r="H374" s="11"/>
      <c r="I374" s="11"/>
    </row>
    <row r="375">
      <c r="B375" s="11"/>
      <c r="C375" s="11"/>
      <c r="D375" s="11"/>
      <c r="E375" s="11"/>
      <c r="F375" s="11"/>
      <c r="G375" s="11"/>
      <c r="H375" s="11"/>
      <c r="I375" s="11"/>
    </row>
    <row r="376">
      <c r="B376" s="11"/>
      <c r="C376" s="11"/>
      <c r="D376" s="11"/>
      <c r="E376" s="11"/>
      <c r="F376" s="11"/>
      <c r="G376" s="11"/>
      <c r="H376" s="11"/>
      <c r="I376" s="11"/>
    </row>
    <row r="377">
      <c r="B377" s="11"/>
      <c r="C377" s="11"/>
      <c r="D377" s="11"/>
      <c r="E377" s="11"/>
      <c r="F377" s="11"/>
      <c r="G377" s="11"/>
      <c r="H377" s="11"/>
      <c r="I377" s="11"/>
    </row>
    <row r="378">
      <c r="B378" s="11"/>
      <c r="C378" s="11"/>
      <c r="D378" s="11"/>
      <c r="E378" s="11"/>
      <c r="F378" s="11"/>
      <c r="G378" s="11"/>
      <c r="H378" s="11"/>
      <c r="I378" s="11"/>
    </row>
    <row r="379">
      <c r="B379" s="11"/>
      <c r="C379" s="11"/>
      <c r="D379" s="11"/>
      <c r="E379" s="11"/>
      <c r="F379" s="11"/>
      <c r="G379" s="11"/>
      <c r="H379" s="11"/>
      <c r="I379" s="11"/>
    </row>
    <row r="380">
      <c r="B380" s="11"/>
      <c r="C380" s="11"/>
      <c r="D380" s="11"/>
      <c r="E380" s="11"/>
      <c r="F380" s="11"/>
      <c r="G380" s="11"/>
      <c r="H380" s="11"/>
      <c r="I380" s="11"/>
    </row>
    <row r="381">
      <c r="B381" s="11"/>
      <c r="C381" s="11"/>
      <c r="D381" s="11"/>
      <c r="E381" s="11"/>
      <c r="F381" s="11"/>
      <c r="G381" s="11"/>
      <c r="H381" s="11"/>
      <c r="I381" s="11"/>
    </row>
    <row r="382">
      <c r="B382" s="11"/>
      <c r="C382" s="11"/>
      <c r="D382" s="11"/>
      <c r="E382" s="11"/>
      <c r="F382" s="11"/>
      <c r="G382" s="11"/>
      <c r="H382" s="11"/>
      <c r="I382" s="11"/>
    </row>
    <row r="383">
      <c r="B383" s="11"/>
      <c r="C383" s="11"/>
      <c r="D383" s="11"/>
      <c r="E383" s="11"/>
      <c r="F383" s="11"/>
      <c r="G383" s="11"/>
      <c r="H383" s="11"/>
      <c r="I383" s="11"/>
    </row>
    <row r="384">
      <c r="B384" s="11"/>
      <c r="C384" s="11"/>
      <c r="D384" s="11"/>
      <c r="E384" s="11"/>
      <c r="F384" s="11"/>
      <c r="G384" s="11"/>
      <c r="H384" s="11"/>
      <c r="I384" s="11"/>
    </row>
    <row r="385">
      <c r="B385" s="11"/>
      <c r="C385" s="11"/>
      <c r="D385" s="11"/>
      <c r="E385" s="11"/>
      <c r="F385" s="11"/>
      <c r="G385" s="11"/>
      <c r="H385" s="11"/>
      <c r="I385" s="11"/>
    </row>
    <row r="386">
      <c r="B386" s="11"/>
      <c r="C386" s="11"/>
      <c r="D386" s="11"/>
      <c r="E386" s="11"/>
      <c r="F386" s="11"/>
      <c r="G386" s="11"/>
      <c r="H386" s="11"/>
      <c r="I386" s="11"/>
    </row>
    <row r="387">
      <c r="B387" s="11"/>
      <c r="C387" s="11"/>
      <c r="D387" s="11"/>
      <c r="E387" s="11"/>
      <c r="F387" s="11"/>
      <c r="G387" s="11"/>
      <c r="H387" s="11"/>
      <c r="I387" s="11"/>
    </row>
    <row r="388">
      <c r="B388" s="11"/>
      <c r="C388" s="11"/>
      <c r="D388" s="11"/>
      <c r="E388" s="11"/>
      <c r="F388" s="11"/>
      <c r="G388" s="11"/>
      <c r="H388" s="11"/>
      <c r="I388" s="11"/>
    </row>
    <row r="389">
      <c r="B389" s="11"/>
      <c r="C389" s="11"/>
      <c r="D389" s="11"/>
      <c r="E389" s="11"/>
      <c r="F389" s="11"/>
      <c r="G389" s="11"/>
      <c r="H389" s="11"/>
      <c r="I389" s="11"/>
    </row>
    <row r="390">
      <c r="B390" s="11"/>
      <c r="C390" s="11"/>
      <c r="D390" s="11"/>
      <c r="E390" s="11"/>
      <c r="F390" s="11"/>
      <c r="G390" s="11"/>
      <c r="H390" s="11"/>
      <c r="I390" s="11"/>
    </row>
    <row r="391">
      <c r="B391" s="11"/>
      <c r="C391" s="11"/>
      <c r="D391" s="11"/>
      <c r="E391" s="11"/>
      <c r="F391" s="11"/>
      <c r="G391" s="11"/>
      <c r="H391" s="11"/>
      <c r="I391" s="11"/>
    </row>
    <row r="392">
      <c r="B392" s="11"/>
      <c r="C392" s="11"/>
      <c r="D392" s="11"/>
      <c r="E392" s="11"/>
      <c r="F392" s="11"/>
      <c r="G392" s="11"/>
      <c r="H392" s="11"/>
      <c r="I392" s="11"/>
    </row>
    <row r="393">
      <c r="B393" s="11"/>
      <c r="C393" s="11"/>
      <c r="D393" s="11"/>
      <c r="E393" s="11"/>
      <c r="F393" s="11"/>
      <c r="G393" s="11"/>
      <c r="H393" s="11"/>
      <c r="I393" s="11"/>
    </row>
    <row r="394">
      <c r="B394" s="11"/>
      <c r="C394" s="11"/>
      <c r="D394" s="11"/>
      <c r="E394" s="11"/>
      <c r="F394" s="11"/>
      <c r="G394" s="11"/>
      <c r="H394" s="11"/>
      <c r="I394" s="11"/>
    </row>
    <row r="395">
      <c r="B395" s="11"/>
      <c r="C395" s="11"/>
      <c r="D395" s="11"/>
      <c r="E395" s="11"/>
      <c r="F395" s="11"/>
      <c r="G395" s="11"/>
      <c r="H395" s="11"/>
      <c r="I395" s="11"/>
    </row>
    <row r="396">
      <c r="B396" s="11"/>
      <c r="C396" s="11"/>
      <c r="D396" s="11"/>
      <c r="E396" s="11"/>
      <c r="F396" s="11"/>
      <c r="G396" s="11"/>
      <c r="H396" s="11"/>
      <c r="I396" s="11"/>
    </row>
    <row r="397">
      <c r="B397" s="11"/>
      <c r="C397" s="11"/>
      <c r="D397" s="11"/>
      <c r="E397" s="11"/>
      <c r="F397" s="11"/>
      <c r="G397" s="11"/>
      <c r="H397" s="11"/>
      <c r="I397" s="11"/>
    </row>
    <row r="398">
      <c r="B398" s="11"/>
      <c r="C398" s="11"/>
      <c r="D398" s="11"/>
      <c r="E398" s="11"/>
      <c r="F398" s="11"/>
      <c r="G398" s="11"/>
      <c r="H398" s="11"/>
      <c r="I398" s="11"/>
    </row>
    <row r="399">
      <c r="B399" s="11"/>
      <c r="C399" s="11"/>
      <c r="D399" s="11"/>
      <c r="E399" s="11"/>
      <c r="F399" s="11"/>
      <c r="G399" s="11"/>
      <c r="H399" s="11"/>
      <c r="I399" s="11"/>
    </row>
    <row r="400">
      <c r="B400" s="11"/>
      <c r="C400" s="11"/>
      <c r="D400" s="11"/>
      <c r="E400" s="11"/>
      <c r="F400" s="11"/>
      <c r="G400" s="11"/>
      <c r="H400" s="11"/>
      <c r="I400" s="11"/>
    </row>
    <row r="401">
      <c r="B401" s="11"/>
      <c r="C401" s="11"/>
      <c r="D401" s="11"/>
      <c r="E401" s="11"/>
      <c r="F401" s="11"/>
      <c r="G401" s="11"/>
      <c r="H401" s="11"/>
      <c r="I401" s="11"/>
    </row>
    <row r="402">
      <c r="B402" s="11"/>
      <c r="C402" s="11"/>
      <c r="D402" s="11"/>
      <c r="E402" s="11"/>
      <c r="F402" s="11"/>
      <c r="G402" s="11"/>
      <c r="H402" s="11"/>
      <c r="I402" s="11"/>
    </row>
    <row r="403">
      <c r="B403" s="11"/>
      <c r="C403" s="11"/>
      <c r="D403" s="11"/>
      <c r="E403" s="11"/>
      <c r="F403" s="11"/>
      <c r="G403" s="11"/>
      <c r="H403" s="11"/>
      <c r="I403" s="11"/>
    </row>
    <row r="404">
      <c r="B404" s="11"/>
      <c r="C404" s="11"/>
      <c r="D404" s="11"/>
      <c r="E404" s="11"/>
      <c r="F404" s="11"/>
      <c r="G404" s="11"/>
      <c r="H404" s="11"/>
      <c r="I404" s="11"/>
    </row>
    <row r="405">
      <c r="B405" s="11"/>
      <c r="C405" s="11"/>
      <c r="D405" s="11"/>
      <c r="E405" s="11"/>
      <c r="F405" s="11"/>
      <c r="G405" s="11"/>
      <c r="H405" s="11"/>
      <c r="I405" s="11"/>
    </row>
    <row r="406">
      <c r="B406" s="11"/>
      <c r="C406" s="11"/>
      <c r="D406" s="11"/>
      <c r="E406" s="11"/>
      <c r="F406" s="11"/>
      <c r="G406" s="11"/>
      <c r="H406" s="11"/>
      <c r="I406" s="11"/>
    </row>
    <row r="407">
      <c r="B407" s="11"/>
      <c r="C407" s="11"/>
      <c r="D407" s="11"/>
      <c r="E407" s="11"/>
      <c r="F407" s="11"/>
      <c r="G407" s="11"/>
      <c r="H407" s="11"/>
      <c r="I407" s="11"/>
    </row>
    <row r="408">
      <c r="B408" s="11"/>
      <c r="C408" s="11"/>
      <c r="D408" s="11"/>
      <c r="E408" s="11"/>
      <c r="F408" s="11"/>
      <c r="G408" s="11"/>
      <c r="H408" s="11"/>
      <c r="I408" s="11"/>
    </row>
    <row r="409">
      <c r="B409" s="11"/>
      <c r="C409" s="11"/>
      <c r="D409" s="11"/>
      <c r="E409" s="11"/>
      <c r="F409" s="11"/>
      <c r="G409" s="11"/>
      <c r="H409" s="11"/>
      <c r="I409" s="11"/>
    </row>
    <row r="410">
      <c r="B410" s="11"/>
      <c r="C410" s="11"/>
      <c r="D410" s="11"/>
      <c r="E410" s="11"/>
      <c r="F410" s="11"/>
      <c r="G410" s="11"/>
      <c r="H410" s="11"/>
      <c r="I410" s="11"/>
    </row>
    <row r="411">
      <c r="B411" s="11"/>
      <c r="C411" s="11"/>
      <c r="D411" s="11"/>
      <c r="E411" s="11"/>
      <c r="F411" s="11"/>
      <c r="G411" s="11"/>
      <c r="H411" s="11"/>
      <c r="I411" s="11"/>
    </row>
    <row r="412">
      <c r="B412" s="11"/>
      <c r="C412" s="11"/>
      <c r="D412" s="11"/>
      <c r="E412" s="11"/>
      <c r="F412" s="11"/>
      <c r="G412" s="11"/>
      <c r="H412" s="11"/>
      <c r="I412" s="11"/>
    </row>
    <row r="413">
      <c r="B413" s="11"/>
      <c r="C413" s="11"/>
      <c r="D413" s="11"/>
      <c r="E413" s="11"/>
      <c r="F413" s="11"/>
      <c r="G413" s="11"/>
      <c r="H413" s="11"/>
      <c r="I413" s="11"/>
    </row>
    <row r="414">
      <c r="B414" s="11"/>
      <c r="C414" s="11"/>
      <c r="D414" s="11"/>
      <c r="E414" s="11"/>
      <c r="F414" s="11"/>
      <c r="G414" s="11"/>
      <c r="H414" s="11"/>
      <c r="I414" s="11"/>
    </row>
    <row r="415">
      <c r="B415" s="11"/>
      <c r="C415" s="11"/>
      <c r="D415" s="11"/>
      <c r="E415" s="11"/>
      <c r="F415" s="11"/>
      <c r="G415" s="11"/>
      <c r="H415" s="11"/>
      <c r="I415" s="11"/>
    </row>
    <row r="416">
      <c r="B416" s="11"/>
      <c r="C416" s="11"/>
      <c r="D416" s="11"/>
      <c r="E416" s="11"/>
      <c r="F416" s="11"/>
      <c r="G416" s="11"/>
      <c r="H416" s="11"/>
      <c r="I416" s="11"/>
    </row>
    <row r="417">
      <c r="B417" s="11"/>
      <c r="C417" s="11"/>
      <c r="D417" s="11"/>
      <c r="E417" s="11"/>
      <c r="F417" s="11"/>
      <c r="G417" s="11"/>
      <c r="H417" s="11"/>
      <c r="I417" s="11"/>
    </row>
    <row r="418">
      <c r="B418" s="11"/>
      <c r="C418" s="11"/>
      <c r="D418" s="11"/>
      <c r="E418" s="11"/>
      <c r="F418" s="11"/>
      <c r="G418" s="11"/>
      <c r="H418" s="11"/>
      <c r="I418" s="11"/>
    </row>
    <row r="419">
      <c r="B419" s="11"/>
      <c r="C419" s="11"/>
      <c r="D419" s="11"/>
      <c r="E419" s="11"/>
      <c r="F419" s="11"/>
      <c r="G419" s="11"/>
      <c r="H419" s="11"/>
      <c r="I419" s="11"/>
    </row>
    <row r="420">
      <c r="B420" s="11"/>
      <c r="C420" s="11"/>
      <c r="D420" s="11"/>
      <c r="E420" s="11"/>
      <c r="F420" s="11"/>
      <c r="G420" s="11"/>
      <c r="H420" s="11"/>
      <c r="I420" s="11"/>
    </row>
    <row r="421">
      <c r="B421" s="11"/>
      <c r="C421" s="11"/>
      <c r="D421" s="11"/>
      <c r="E421" s="11"/>
      <c r="F421" s="11"/>
      <c r="G421" s="11"/>
      <c r="H421" s="11"/>
      <c r="I421" s="11"/>
    </row>
    <row r="422">
      <c r="B422" s="11"/>
      <c r="C422" s="11"/>
      <c r="D422" s="11"/>
      <c r="E422" s="11"/>
      <c r="F422" s="11"/>
      <c r="G422" s="11"/>
      <c r="H422" s="11"/>
      <c r="I422" s="11"/>
    </row>
    <row r="423">
      <c r="B423" s="11"/>
      <c r="C423" s="11"/>
      <c r="D423" s="11"/>
      <c r="E423" s="11"/>
      <c r="F423" s="11"/>
      <c r="G423" s="11"/>
      <c r="H423" s="11"/>
      <c r="I423" s="11"/>
    </row>
    <row r="424">
      <c r="B424" s="11"/>
      <c r="C424" s="11"/>
      <c r="D424" s="11"/>
      <c r="E424" s="11"/>
      <c r="F424" s="11"/>
      <c r="G424" s="11"/>
      <c r="H424" s="11"/>
      <c r="I424" s="11"/>
    </row>
    <row r="425">
      <c r="B425" s="11"/>
      <c r="C425" s="11"/>
      <c r="D425" s="11"/>
      <c r="E425" s="11"/>
      <c r="F425" s="11"/>
      <c r="G425" s="11"/>
      <c r="H425" s="11"/>
      <c r="I425" s="11"/>
    </row>
    <row r="426">
      <c r="B426" s="11"/>
      <c r="C426" s="11"/>
      <c r="D426" s="11"/>
      <c r="E426" s="11"/>
      <c r="F426" s="11"/>
      <c r="G426" s="11"/>
      <c r="H426" s="11"/>
      <c r="I426" s="11"/>
    </row>
    <row r="427">
      <c r="B427" s="11"/>
      <c r="C427" s="11"/>
      <c r="D427" s="11"/>
      <c r="E427" s="11"/>
      <c r="F427" s="11"/>
      <c r="G427" s="11"/>
      <c r="H427" s="11"/>
      <c r="I427" s="11"/>
    </row>
    <row r="428">
      <c r="B428" s="11"/>
      <c r="C428" s="11"/>
      <c r="D428" s="11"/>
      <c r="E428" s="11"/>
      <c r="F428" s="11"/>
      <c r="G428" s="11"/>
      <c r="H428" s="11"/>
      <c r="I428" s="11"/>
    </row>
    <row r="429">
      <c r="B429" s="11"/>
      <c r="C429" s="11"/>
      <c r="D429" s="11"/>
      <c r="E429" s="11"/>
      <c r="F429" s="11"/>
      <c r="G429" s="11"/>
      <c r="H429" s="11"/>
      <c r="I429" s="11"/>
    </row>
    <row r="430">
      <c r="B430" s="11"/>
      <c r="C430" s="11"/>
      <c r="D430" s="11"/>
      <c r="E430" s="11"/>
      <c r="F430" s="11"/>
      <c r="G430" s="11"/>
      <c r="H430" s="11"/>
      <c r="I430" s="11"/>
    </row>
    <row r="431">
      <c r="B431" s="11"/>
      <c r="C431" s="11"/>
      <c r="D431" s="11"/>
      <c r="E431" s="11"/>
      <c r="F431" s="11"/>
      <c r="G431" s="11"/>
      <c r="H431" s="11"/>
      <c r="I431" s="11"/>
    </row>
    <row r="432">
      <c r="B432" s="11"/>
      <c r="C432" s="11"/>
      <c r="D432" s="11"/>
      <c r="E432" s="11"/>
      <c r="F432" s="11"/>
      <c r="G432" s="11"/>
      <c r="H432" s="11"/>
      <c r="I432" s="11"/>
    </row>
    <row r="433">
      <c r="B433" s="11"/>
      <c r="C433" s="11"/>
      <c r="D433" s="11"/>
      <c r="E433" s="11"/>
      <c r="F433" s="11"/>
      <c r="G433" s="11"/>
      <c r="H433" s="11"/>
      <c r="I433" s="11"/>
    </row>
    <row r="434">
      <c r="B434" s="11"/>
      <c r="C434" s="11"/>
      <c r="D434" s="11"/>
      <c r="E434" s="11"/>
      <c r="F434" s="11"/>
      <c r="G434" s="11"/>
      <c r="H434" s="11"/>
      <c r="I434" s="11"/>
    </row>
    <row r="435">
      <c r="B435" s="11"/>
      <c r="C435" s="11"/>
      <c r="D435" s="11"/>
      <c r="E435" s="11"/>
      <c r="F435" s="11"/>
      <c r="G435" s="11"/>
      <c r="H435" s="11"/>
      <c r="I435" s="11"/>
    </row>
    <row r="436">
      <c r="B436" s="11"/>
      <c r="C436" s="11"/>
      <c r="D436" s="11"/>
      <c r="E436" s="11"/>
      <c r="F436" s="11"/>
      <c r="G436" s="11"/>
      <c r="H436" s="11"/>
      <c r="I436" s="11"/>
    </row>
    <row r="437">
      <c r="B437" s="11"/>
      <c r="C437" s="11"/>
      <c r="D437" s="11"/>
      <c r="E437" s="11"/>
      <c r="F437" s="11"/>
      <c r="G437" s="11"/>
      <c r="H437" s="11"/>
      <c r="I437" s="11"/>
    </row>
    <row r="438">
      <c r="B438" s="11"/>
      <c r="C438" s="11"/>
      <c r="D438" s="11"/>
      <c r="E438" s="11"/>
      <c r="F438" s="11"/>
      <c r="G438" s="11"/>
      <c r="H438" s="11"/>
      <c r="I438" s="11"/>
    </row>
    <row r="439">
      <c r="B439" s="11"/>
      <c r="C439" s="11"/>
      <c r="D439" s="11"/>
      <c r="E439" s="11"/>
      <c r="F439" s="11"/>
      <c r="G439" s="11"/>
      <c r="H439" s="11"/>
      <c r="I439" s="11"/>
    </row>
    <row r="440">
      <c r="B440" s="11"/>
      <c r="C440" s="11"/>
      <c r="D440" s="11"/>
      <c r="E440" s="11"/>
      <c r="F440" s="11"/>
      <c r="G440" s="11"/>
      <c r="H440" s="11"/>
      <c r="I440" s="11"/>
    </row>
    <row r="441">
      <c r="B441" s="11"/>
      <c r="C441" s="11"/>
      <c r="D441" s="11"/>
      <c r="E441" s="11"/>
      <c r="F441" s="11"/>
      <c r="G441" s="11"/>
      <c r="H441" s="11"/>
      <c r="I441" s="11"/>
    </row>
    <row r="442">
      <c r="B442" s="11"/>
      <c r="C442" s="11"/>
      <c r="D442" s="11"/>
      <c r="E442" s="11"/>
      <c r="F442" s="11"/>
      <c r="G442" s="11"/>
      <c r="H442" s="11"/>
      <c r="I442" s="11"/>
    </row>
    <row r="443">
      <c r="B443" s="11"/>
      <c r="C443" s="11"/>
      <c r="D443" s="11"/>
      <c r="E443" s="11"/>
      <c r="F443" s="11"/>
      <c r="G443" s="11"/>
      <c r="H443" s="11"/>
      <c r="I443" s="11"/>
    </row>
    <row r="444">
      <c r="B444" s="11"/>
      <c r="C444" s="11"/>
      <c r="D444" s="11"/>
      <c r="E444" s="11"/>
      <c r="F444" s="11"/>
      <c r="G444" s="11"/>
      <c r="H444" s="11"/>
      <c r="I444" s="11"/>
    </row>
    <row r="445">
      <c r="B445" s="11"/>
      <c r="C445" s="11"/>
      <c r="D445" s="11"/>
      <c r="E445" s="11"/>
      <c r="F445" s="11"/>
      <c r="G445" s="11"/>
      <c r="H445" s="11"/>
      <c r="I445" s="11"/>
    </row>
    <row r="446">
      <c r="B446" s="11"/>
      <c r="C446" s="11"/>
      <c r="D446" s="11"/>
      <c r="E446" s="11"/>
      <c r="F446" s="11"/>
      <c r="G446" s="11"/>
      <c r="H446" s="11"/>
      <c r="I446" s="11"/>
    </row>
    <row r="447">
      <c r="B447" s="11"/>
      <c r="C447" s="11"/>
      <c r="D447" s="11"/>
      <c r="E447" s="11"/>
      <c r="F447" s="11"/>
      <c r="G447" s="11"/>
      <c r="H447" s="11"/>
      <c r="I447" s="11"/>
    </row>
    <row r="448">
      <c r="B448" s="11"/>
      <c r="C448" s="11"/>
      <c r="D448" s="11"/>
      <c r="E448" s="11"/>
      <c r="F448" s="11"/>
      <c r="G448" s="11"/>
      <c r="H448" s="11"/>
      <c r="I448" s="11"/>
    </row>
    <row r="449">
      <c r="B449" s="11"/>
      <c r="C449" s="11"/>
      <c r="D449" s="11"/>
      <c r="E449" s="11"/>
      <c r="F449" s="11"/>
      <c r="G449" s="11"/>
      <c r="H449" s="11"/>
      <c r="I449" s="11"/>
    </row>
    <row r="450">
      <c r="B450" s="11"/>
      <c r="C450" s="11"/>
      <c r="D450" s="11"/>
      <c r="E450" s="11"/>
      <c r="F450" s="11"/>
      <c r="G450" s="11"/>
      <c r="H450" s="11"/>
      <c r="I450" s="11"/>
    </row>
    <row r="451">
      <c r="B451" s="11"/>
      <c r="C451" s="11"/>
      <c r="D451" s="11"/>
      <c r="E451" s="11"/>
      <c r="F451" s="11"/>
      <c r="G451" s="11"/>
      <c r="H451" s="11"/>
      <c r="I451" s="11"/>
    </row>
    <row r="452">
      <c r="B452" s="11"/>
      <c r="C452" s="11"/>
      <c r="D452" s="11"/>
      <c r="E452" s="11"/>
      <c r="F452" s="11"/>
      <c r="G452" s="11"/>
      <c r="H452" s="11"/>
      <c r="I452" s="11"/>
    </row>
    <row r="453">
      <c r="B453" s="11"/>
      <c r="C453" s="11"/>
      <c r="D453" s="11"/>
      <c r="E453" s="11"/>
      <c r="F453" s="11"/>
      <c r="G453" s="11"/>
      <c r="H453" s="11"/>
      <c r="I453" s="11"/>
    </row>
    <row r="454">
      <c r="B454" s="11"/>
      <c r="C454" s="11"/>
      <c r="D454" s="11"/>
      <c r="E454" s="11"/>
      <c r="F454" s="11"/>
      <c r="G454" s="11"/>
      <c r="H454" s="11"/>
      <c r="I454" s="11"/>
    </row>
    <row r="455">
      <c r="B455" s="11"/>
      <c r="C455" s="11"/>
      <c r="D455" s="11"/>
      <c r="E455" s="11"/>
      <c r="F455" s="11"/>
      <c r="G455" s="11"/>
      <c r="H455" s="11"/>
      <c r="I455" s="11"/>
    </row>
    <row r="456">
      <c r="B456" s="11"/>
      <c r="C456" s="11"/>
      <c r="D456" s="11"/>
      <c r="E456" s="11"/>
      <c r="F456" s="11"/>
      <c r="G456" s="11"/>
      <c r="H456" s="11"/>
      <c r="I456" s="11"/>
    </row>
    <row r="457">
      <c r="B457" s="11"/>
      <c r="C457" s="11"/>
      <c r="D457" s="11"/>
      <c r="E457" s="11"/>
      <c r="F457" s="11"/>
      <c r="G457" s="11"/>
      <c r="H457" s="11"/>
      <c r="I457" s="11"/>
    </row>
    <row r="458">
      <c r="B458" s="11"/>
      <c r="C458" s="11"/>
      <c r="D458" s="11"/>
      <c r="E458" s="11"/>
      <c r="F458" s="11"/>
      <c r="G458" s="11"/>
      <c r="H458" s="11"/>
      <c r="I458" s="11"/>
    </row>
    <row r="459">
      <c r="B459" s="11"/>
      <c r="C459" s="11"/>
      <c r="D459" s="11"/>
      <c r="E459" s="11"/>
      <c r="F459" s="11"/>
      <c r="G459" s="11"/>
      <c r="H459" s="11"/>
      <c r="I459" s="11"/>
    </row>
    <row r="460">
      <c r="B460" s="11"/>
      <c r="C460" s="11"/>
      <c r="D460" s="11"/>
      <c r="E460" s="11"/>
      <c r="F460" s="11"/>
      <c r="G460" s="11"/>
      <c r="H460" s="11"/>
      <c r="I460" s="11"/>
    </row>
    <row r="461">
      <c r="B461" s="11"/>
      <c r="C461" s="11"/>
      <c r="D461" s="11"/>
      <c r="E461" s="11"/>
      <c r="F461" s="11"/>
      <c r="G461" s="11"/>
      <c r="H461" s="11"/>
      <c r="I461" s="11"/>
    </row>
    <row r="462">
      <c r="B462" s="11"/>
      <c r="C462" s="11"/>
      <c r="D462" s="11"/>
      <c r="E462" s="11"/>
      <c r="F462" s="11"/>
      <c r="G462" s="11"/>
      <c r="H462" s="11"/>
      <c r="I462" s="11"/>
    </row>
    <row r="463">
      <c r="B463" s="11"/>
      <c r="C463" s="11"/>
      <c r="D463" s="11"/>
      <c r="E463" s="11"/>
      <c r="F463" s="11"/>
      <c r="G463" s="11"/>
      <c r="H463" s="11"/>
      <c r="I463" s="11"/>
    </row>
    <row r="464">
      <c r="B464" s="11"/>
      <c r="C464" s="11"/>
      <c r="D464" s="11"/>
      <c r="E464" s="11"/>
      <c r="F464" s="11"/>
      <c r="G464" s="11"/>
      <c r="H464" s="11"/>
      <c r="I464" s="11"/>
    </row>
    <row r="465">
      <c r="B465" s="11"/>
      <c r="C465" s="11"/>
      <c r="D465" s="11"/>
      <c r="E465" s="11"/>
      <c r="F465" s="11"/>
      <c r="G465" s="11"/>
      <c r="H465" s="11"/>
      <c r="I465" s="11"/>
    </row>
    <row r="466">
      <c r="B466" s="11"/>
      <c r="C466" s="11"/>
      <c r="D466" s="11"/>
      <c r="E466" s="11"/>
      <c r="F466" s="11"/>
      <c r="G466" s="11"/>
      <c r="H466" s="11"/>
      <c r="I466" s="11"/>
    </row>
    <row r="467">
      <c r="B467" s="11"/>
      <c r="C467" s="11"/>
      <c r="D467" s="11"/>
      <c r="E467" s="11"/>
      <c r="F467" s="11"/>
      <c r="G467" s="11"/>
      <c r="H467" s="11"/>
      <c r="I467" s="11"/>
    </row>
    <row r="468">
      <c r="B468" s="11"/>
      <c r="C468" s="11"/>
      <c r="D468" s="11"/>
      <c r="E468" s="11"/>
      <c r="F468" s="11"/>
      <c r="G468" s="11"/>
      <c r="H468" s="11"/>
      <c r="I468" s="11"/>
    </row>
    <row r="469">
      <c r="B469" s="11"/>
      <c r="C469" s="11"/>
      <c r="D469" s="11"/>
      <c r="E469" s="11"/>
      <c r="F469" s="11"/>
      <c r="G469" s="11"/>
      <c r="H469" s="11"/>
      <c r="I469" s="11"/>
    </row>
    <row r="470">
      <c r="B470" s="11"/>
      <c r="C470" s="11"/>
      <c r="D470" s="11"/>
      <c r="E470" s="11"/>
      <c r="F470" s="11"/>
      <c r="G470" s="11"/>
      <c r="H470" s="11"/>
      <c r="I470" s="11"/>
    </row>
    <row r="471">
      <c r="B471" s="11"/>
      <c r="C471" s="11"/>
      <c r="D471" s="11"/>
      <c r="E471" s="11"/>
      <c r="F471" s="11"/>
      <c r="G471" s="11"/>
      <c r="H471" s="11"/>
      <c r="I471" s="11"/>
    </row>
    <row r="472">
      <c r="B472" s="11"/>
      <c r="C472" s="11"/>
      <c r="D472" s="11"/>
      <c r="E472" s="11"/>
      <c r="F472" s="11"/>
      <c r="G472" s="11"/>
      <c r="H472" s="11"/>
      <c r="I472" s="11"/>
    </row>
    <row r="473">
      <c r="B473" s="11"/>
      <c r="C473" s="11"/>
      <c r="D473" s="11"/>
      <c r="E473" s="11"/>
      <c r="F473" s="11"/>
      <c r="G473" s="11"/>
      <c r="H473" s="11"/>
      <c r="I473" s="11"/>
    </row>
    <row r="474">
      <c r="B474" s="11"/>
      <c r="C474" s="11"/>
      <c r="D474" s="11"/>
      <c r="E474" s="11"/>
      <c r="F474" s="11"/>
      <c r="G474" s="11"/>
      <c r="H474" s="11"/>
      <c r="I474" s="11"/>
    </row>
    <row r="475">
      <c r="B475" s="11"/>
      <c r="C475" s="11"/>
      <c r="D475" s="11"/>
      <c r="E475" s="11"/>
      <c r="F475" s="11"/>
      <c r="G475" s="11"/>
      <c r="H475" s="11"/>
      <c r="I475" s="11"/>
    </row>
    <row r="476">
      <c r="B476" s="11"/>
      <c r="C476" s="11"/>
      <c r="D476" s="11"/>
      <c r="E476" s="11"/>
      <c r="F476" s="11"/>
      <c r="G476" s="11"/>
      <c r="H476" s="11"/>
      <c r="I476" s="11"/>
    </row>
    <row r="477">
      <c r="B477" s="11"/>
      <c r="C477" s="11"/>
      <c r="D477" s="11"/>
      <c r="E477" s="11"/>
      <c r="F477" s="11"/>
      <c r="G477" s="11"/>
      <c r="H477" s="11"/>
      <c r="I477" s="11"/>
    </row>
    <row r="478">
      <c r="B478" s="11"/>
      <c r="C478" s="11"/>
      <c r="D478" s="11"/>
      <c r="E478" s="11"/>
      <c r="F478" s="11"/>
      <c r="G478" s="11"/>
      <c r="H478" s="11"/>
      <c r="I478" s="11"/>
    </row>
    <row r="479">
      <c r="B479" s="11"/>
      <c r="C479" s="11"/>
      <c r="D479" s="11"/>
      <c r="E479" s="11"/>
      <c r="F479" s="11"/>
      <c r="G479" s="11"/>
      <c r="H479" s="11"/>
      <c r="I479" s="11"/>
    </row>
    <row r="480">
      <c r="B480" s="11"/>
      <c r="C480" s="11"/>
      <c r="D480" s="11"/>
      <c r="E480" s="11"/>
      <c r="F480" s="11"/>
      <c r="G480" s="11"/>
      <c r="H480" s="11"/>
      <c r="I480" s="11"/>
    </row>
    <row r="481">
      <c r="B481" s="11"/>
      <c r="C481" s="11"/>
      <c r="D481" s="11"/>
      <c r="E481" s="11"/>
      <c r="F481" s="11"/>
      <c r="G481" s="11"/>
      <c r="H481" s="11"/>
      <c r="I481" s="11"/>
    </row>
    <row r="482">
      <c r="B482" s="11"/>
      <c r="C482" s="11"/>
      <c r="D482" s="11"/>
      <c r="E482" s="11"/>
      <c r="F482" s="11"/>
      <c r="G482" s="11"/>
      <c r="H482" s="11"/>
      <c r="I482" s="11"/>
    </row>
    <row r="483">
      <c r="B483" s="11"/>
      <c r="C483" s="11"/>
      <c r="D483" s="11"/>
      <c r="E483" s="11"/>
      <c r="F483" s="11"/>
      <c r="G483" s="11"/>
      <c r="H483" s="11"/>
      <c r="I483" s="11"/>
    </row>
    <row r="484">
      <c r="B484" s="11"/>
      <c r="C484" s="11"/>
      <c r="D484" s="11"/>
      <c r="E484" s="11"/>
      <c r="F484" s="11"/>
      <c r="G484" s="11"/>
      <c r="H484" s="11"/>
      <c r="I484" s="11"/>
    </row>
    <row r="485">
      <c r="B485" s="11"/>
      <c r="C485" s="11"/>
      <c r="D485" s="11"/>
      <c r="E485" s="11"/>
      <c r="F485" s="11"/>
      <c r="G485" s="11"/>
      <c r="H485" s="11"/>
      <c r="I485" s="11"/>
    </row>
    <row r="486">
      <c r="B486" s="11"/>
      <c r="C486" s="11"/>
      <c r="D486" s="11"/>
      <c r="E486" s="11"/>
      <c r="F486" s="11"/>
      <c r="G486" s="11"/>
      <c r="H486" s="11"/>
      <c r="I486" s="11"/>
    </row>
    <row r="487">
      <c r="B487" s="11"/>
      <c r="C487" s="11"/>
      <c r="D487" s="11"/>
      <c r="E487" s="11"/>
      <c r="F487" s="11"/>
      <c r="G487" s="11"/>
      <c r="H487" s="11"/>
      <c r="I487" s="11"/>
    </row>
    <row r="488">
      <c r="B488" s="11"/>
      <c r="C488" s="11"/>
      <c r="D488" s="11"/>
      <c r="E488" s="11"/>
      <c r="F488" s="11"/>
      <c r="G488" s="11"/>
      <c r="H488" s="11"/>
      <c r="I488" s="11"/>
    </row>
    <row r="489">
      <c r="B489" s="11"/>
      <c r="C489" s="11"/>
      <c r="D489" s="11"/>
      <c r="E489" s="11"/>
      <c r="F489" s="11"/>
      <c r="G489" s="11"/>
      <c r="H489" s="11"/>
      <c r="I489" s="11"/>
    </row>
    <row r="490">
      <c r="B490" s="11"/>
      <c r="C490" s="11"/>
      <c r="D490" s="11"/>
      <c r="E490" s="11"/>
      <c r="F490" s="11"/>
      <c r="G490" s="11"/>
      <c r="H490" s="11"/>
      <c r="I490" s="11"/>
    </row>
    <row r="491">
      <c r="B491" s="11"/>
      <c r="C491" s="11"/>
      <c r="D491" s="11"/>
      <c r="E491" s="11"/>
      <c r="F491" s="11"/>
      <c r="G491" s="11"/>
      <c r="H491" s="11"/>
      <c r="I491" s="11"/>
    </row>
    <row r="492">
      <c r="B492" s="11"/>
      <c r="C492" s="11"/>
      <c r="D492" s="11"/>
      <c r="E492" s="11"/>
      <c r="F492" s="11"/>
      <c r="G492" s="11"/>
      <c r="H492" s="11"/>
      <c r="I492" s="11"/>
    </row>
    <row r="493">
      <c r="B493" s="11"/>
      <c r="C493" s="11"/>
      <c r="D493" s="11"/>
      <c r="E493" s="11"/>
      <c r="F493" s="11"/>
      <c r="G493" s="11"/>
      <c r="H493" s="11"/>
      <c r="I493" s="11"/>
    </row>
    <row r="494">
      <c r="B494" s="11"/>
      <c r="C494" s="11"/>
      <c r="D494" s="11"/>
      <c r="E494" s="11"/>
      <c r="F494" s="11"/>
      <c r="G494" s="11"/>
      <c r="H494" s="11"/>
      <c r="I494" s="11"/>
    </row>
    <row r="495">
      <c r="B495" s="11"/>
      <c r="C495" s="11"/>
      <c r="D495" s="11"/>
      <c r="E495" s="11"/>
      <c r="F495" s="11"/>
      <c r="G495" s="11"/>
      <c r="H495" s="11"/>
      <c r="I495" s="11"/>
    </row>
    <row r="496">
      <c r="B496" s="11"/>
      <c r="C496" s="11"/>
      <c r="D496" s="11"/>
      <c r="E496" s="11"/>
      <c r="F496" s="11"/>
      <c r="G496" s="11"/>
      <c r="H496" s="11"/>
      <c r="I496" s="11"/>
    </row>
    <row r="497">
      <c r="B497" s="11"/>
      <c r="C497" s="11"/>
      <c r="D497" s="11"/>
      <c r="E497" s="11"/>
      <c r="F497" s="11"/>
      <c r="G497" s="11"/>
      <c r="H497" s="11"/>
      <c r="I497" s="11"/>
    </row>
    <row r="498">
      <c r="B498" s="11"/>
      <c r="C498" s="11"/>
      <c r="D498" s="11"/>
      <c r="E498" s="11"/>
      <c r="F498" s="11"/>
      <c r="G498" s="11"/>
      <c r="H498" s="11"/>
      <c r="I498" s="11"/>
    </row>
    <row r="499">
      <c r="B499" s="11"/>
      <c r="C499" s="11"/>
      <c r="D499" s="11"/>
      <c r="E499" s="11"/>
      <c r="F499" s="11"/>
      <c r="G499" s="11"/>
      <c r="H499" s="11"/>
      <c r="I499" s="11"/>
    </row>
    <row r="500">
      <c r="B500" s="11"/>
      <c r="C500" s="11"/>
      <c r="D500" s="11"/>
      <c r="E500" s="11"/>
      <c r="F500" s="11"/>
      <c r="G500" s="11"/>
      <c r="H500" s="11"/>
      <c r="I500" s="11"/>
    </row>
    <row r="501">
      <c r="B501" s="11"/>
      <c r="C501" s="11"/>
      <c r="D501" s="11"/>
      <c r="E501" s="11"/>
      <c r="F501" s="11"/>
      <c r="G501" s="11"/>
      <c r="H501" s="11"/>
      <c r="I501" s="11"/>
    </row>
    <row r="502">
      <c r="B502" s="11"/>
      <c r="C502" s="11"/>
      <c r="D502" s="11"/>
      <c r="E502" s="11"/>
      <c r="F502" s="11"/>
      <c r="G502" s="11"/>
      <c r="H502" s="11"/>
      <c r="I502" s="11"/>
    </row>
    <row r="503">
      <c r="B503" s="11"/>
      <c r="C503" s="11"/>
      <c r="D503" s="11"/>
      <c r="E503" s="11"/>
      <c r="F503" s="11"/>
      <c r="G503" s="11"/>
      <c r="H503" s="11"/>
      <c r="I503" s="11"/>
    </row>
    <row r="504">
      <c r="B504" s="11"/>
      <c r="C504" s="11"/>
      <c r="D504" s="11"/>
      <c r="E504" s="11"/>
      <c r="F504" s="11"/>
      <c r="G504" s="11"/>
      <c r="H504" s="11"/>
      <c r="I504" s="11"/>
    </row>
    <row r="505">
      <c r="B505" s="11"/>
      <c r="C505" s="11"/>
      <c r="D505" s="11"/>
      <c r="E505" s="11"/>
      <c r="F505" s="11"/>
      <c r="G505" s="11"/>
      <c r="H505" s="11"/>
      <c r="I505" s="11"/>
    </row>
    <row r="506">
      <c r="B506" s="11"/>
      <c r="C506" s="11"/>
      <c r="D506" s="11"/>
      <c r="E506" s="11"/>
      <c r="F506" s="11"/>
      <c r="G506" s="11"/>
      <c r="H506" s="11"/>
      <c r="I506" s="11"/>
    </row>
    <row r="507">
      <c r="B507" s="11"/>
      <c r="C507" s="11"/>
      <c r="D507" s="11"/>
      <c r="E507" s="11"/>
      <c r="F507" s="11"/>
      <c r="G507" s="11"/>
      <c r="H507" s="11"/>
      <c r="I507" s="11"/>
    </row>
    <row r="508">
      <c r="B508" s="11"/>
      <c r="C508" s="11"/>
      <c r="D508" s="11"/>
      <c r="E508" s="11"/>
      <c r="F508" s="11"/>
      <c r="G508" s="11"/>
      <c r="H508" s="11"/>
      <c r="I508" s="11"/>
    </row>
    <row r="509">
      <c r="B509" s="11"/>
      <c r="C509" s="11"/>
      <c r="D509" s="11"/>
      <c r="E509" s="11"/>
      <c r="F509" s="11"/>
      <c r="G509" s="11"/>
      <c r="H509" s="11"/>
      <c r="I509" s="11"/>
    </row>
    <row r="510">
      <c r="B510" s="11"/>
      <c r="C510" s="11"/>
      <c r="D510" s="11"/>
      <c r="E510" s="11"/>
      <c r="F510" s="11"/>
      <c r="G510" s="11"/>
      <c r="H510" s="11"/>
      <c r="I510" s="11"/>
    </row>
    <row r="511">
      <c r="B511" s="11"/>
      <c r="C511" s="11"/>
      <c r="D511" s="11"/>
      <c r="E511" s="11"/>
      <c r="F511" s="11"/>
      <c r="G511" s="11"/>
      <c r="H511" s="11"/>
      <c r="I511" s="11"/>
    </row>
    <row r="512">
      <c r="B512" s="11"/>
      <c r="C512" s="11"/>
      <c r="D512" s="11"/>
      <c r="E512" s="11"/>
      <c r="F512" s="11"/>
      <c r="G512" s="11"/>
      <c r="H512" s="11"/>
      <c r="I512" s="11"/>
    </row>
    <row r="513">
      <c r="B513" s="11"/>
      <c r="C513" s="11"/>
      <c r="D513" s="11"/>
      <c r="E513" s="11"/>
      <c r="F513" s="11"/>
      <c r="G513" s="11"/>
      <c r="H513" s="11"/>
      <c r="I513" s="11"/>
    </row>
    <row r="514">
      <c r="B514" s="11"/>
      <c r="C514" s="11"/>
      <c r="D514" s="11"/>
      <c r="E514" s="11"/>
      <c r="F514" s="11"/>
      <c r="G514" s="11"/>
      <c r="H514" s="11"/>
      <c r="I514" s="11"/>
    </row>
    <row r="515">
      <c r="B515" s="11"/>
      <c r="C515" s="11"/>
      <c r="D515" s="11"/>
      <c r="E515" s="11"/>
      <c r="F515" s="11"/>
      <c r="G515" s="11"/>
      <c r="H515" s="11"/>
      <c r="I515" s="11"/>
    </row>
    <row r="516">
      <c r="B516" s="11"/>
      <c r="C516" s="11"/>
      <c r="D516" s="11"/>
      <c r="E516" s="11"/>
      <c r="F516" s="11"/>
      <c r="G516" s="11"/>
      <c r="H516" s="11"/>
      <c r="I516" s="11"/>
    </row>
    <row r="517">
      <c r="B517" s="11"/>
      <c r="C517" s="11"/>
      <c r="D517" s="11"/>
      <c r="E517" s="11"/>
      <c r="F517" s="11"/>
      <c r="G517" s="11"/>
      <c r="H517" s="11"/>
      <c r="I517" s="11"/>
    </row>
    <row r="518">
      <c r="B518" s="11"/>
      <c r="C518" s="11"/>
      <c r="D518" s="11"/>
      <c r="E518" s="11"/>
      <c r="F518" s="11"/>
      <c r="G518" s="11"/>
      <c r="H518" s="11"/>
      <c r="I518" s="11"/>
    </row>
    <row r="519">
      <c r="B519" s="11"/>
      <c r="C519" s="11"/>
      <c r="D519" s="11"/>
      <c r="E519" s="11"/>
      <c r="F519" s="11"/>
      <c r="G519" s="11"/>
      <c r="H519" s="11"/>
      <c r="I519" s="11"/>
    </row>
    <row r="520">
      <c r="B520" s="11"/>
      <c r="C520" s="11"/>
      <c r="D520" s="11"/>
      <c r="E520" s="11"/>
      <c r="F520" s="11"/>
      <c r="G520" s="11"/>
      <c r="H520" s="11"/>
      <c r="I520" s="11"/>
    </row>
    <row r="521">
      <c r="B521" s="11"/>
      <c r="C521" s="11"/>
      <c r="D521" s="11"/>
      <c r="E521" s="11"/>
      <c r="F521" s="11"/>
      <c r="G521" s="11"/>
      <c r="H521" s="11"/>
      <c r="I521" s="11"/>
    </row>
    <row r="522">
      <c r="B522" s="11"/>
      <c r="C522" s="11"/>
      <c r="D522" s="11"/>
      <c r="E522" s="11"/>
      <c r="F522" s="11"/>
      <c r="G522" s="11"/>
      <c r="H522" s="11"/>
      <c r="I522" s="11"/>
    </row>
    <row r="523">
      <c r="B523" s="11"/>
      <c r="C523" s="11"/>
      <c r="D523" s="11"/>
      <c r="E523" s="11"/>
      <c r="F523" s="11"/>
      <c r="G523" s="11"/>
      <c r="H523" s="11"/>
      <c r="I523" s="11"/>
    </row>
    <row r="524">
      <c r="B524" s="11"/>
      <c r="C524" s="11"/>
      <c r="D524" s="11"/>
      <c r="E524" s="11"/>
      <c r="F524" s="11"/>
      <c r="G524" s="11"/>
      <c r="H524" s="11"/>
      <c r="I524" s="11"/>
    </row>
    <row r="525">
      <c r="B525" s="11"/>
      <c r="C525" s="11"/>
      <c r="D525" s="11"/>
      <c r="E525" s="11"/>
      <c r="F525" s="11"/>
      <c r="G525" s="11"/>
      <c r="H525" s="11"/>
      <c r="I525" s="11"/>
    </row>
    <row r="526">
      <c r="B526" s="11"/>
      <c r="C526" s="11"/>
      <c r="D526" s="11"/>
      <c r="E526" s="11"/>
      <c r="F526" s="11"/>
      <c r="G526" s="11"/>
      <c r="H526" s="11"/>
      <c r="I526" s="11"/>
    </row>
    <row r="527">
      <c r="B527" s="11"/>
      <c r="C527" s="11"/>
      <c r="D527" s="11"/>
      <c r="E527" s="11"/>
      <c r="F527" s="11"/>
      <c r="G527" s="11"/>
      <c r="H527" s="11"/>
      <c r="I527" s="11"/>
    </row>
    <row r="528">
      <c r="B528" s="11"/>
      <c r="C528" s="11"/>
      <c r="D528" s="11"/>
      <c r="E528" s="11"/>
      <c r="F528" s="11"/>
      <c r="G528" s="11"/>
      <c r="H528" s="11"/>
      <c r="I528" s="11"/>
    </row>
    <row r="529">
      <c r="B529" s="11"/>
      <c r="C529" s="11"/>
      <c r="D529" s="11"/>
      <c r="E529" s="11"/>
      <c r="F529" s="11"/>
      <c r="G529" s="11"/>
      <c r="H529" s="11"/>
      <c r="I529" s="11"/>
    </row>
    <row r="530">
      <c r="B530" s="11"/>
      <c r="C530" s="11"/>
      <c r="D530" s="11"/>
      <c r="E530" s="11"/>
      <c r="F530" s="11"/>
      <c r="G530" s="11"/>
      <c r="H530" s="11"/>
      <c r="I530" s="11"/>
    </row>
    <row r="531">
      <c r="B531" s="11"/>
      <c r="C531" s="11"/>
      <c r="D531" s="11"/>
      <c r="E531" s="11"/>
      <c r="F531" s="11"/>
      <c r="G531" s="11"/>
      <c r="H531" s="11"/>
      <c r="I531" s="11"/>
    </row>
    <row r="532">
      <c r="B532" s="11"/>
      <c r="C532" s="11"/>
      <c r="D532" s="11"/>
      <c r="E532" s="11"/>
      <c r="F532" s="11"/>
      <c r="G532" s="11"/>
      <c r="H532" s="11"/>
      <c r="I532" s="11"/>
    </row>
    <row r="533">
      <c r="B533" s="11"/>
      <c r="C533" s="11"/>
      <c r="D533" s="11"/>
      <c r="E533" s="11"/>
      <c r="F533" s="11"/>
      <c r="G533" s="11"/>
      <c r="H533" s="11"/>
      <c r="I533" s="11"/>
    </row>
    <row r="534">
      <c r="B534" s="11"/>
      <c r="C534" s="11"/>
      <c r="D534" s="11"/>
      <c r="E534" s="11"/>
      <c r="F534" s="11"/>
      <c r="G534" s="11"/>
      <c r="H534" s="11"/>
      <c r="I534" s="11"/>
    </row>
    <row r="535">
      <c r="B535" s="11"/>
      <c r="C535" s="11"/>
      <c r="D535" s="11"/>
      <c r="E535" s="11"/>
      <c r="F535" s="11"/>
      <c r="G535" s="11"/>
      <c r="H535" s="11"/>
      <c r="I535" s="11"/>
    </row>
    <row r="536">
      <c r="B536" s="11"/>
      <c r="C536" s="11"/>
      <c r="D536" s="11"/>
      <c r="E536" s="11"/>
      <c r="F536" s="11"/>
      <c r="G536" s="11"/>
      <c r="H536" s="11"/>
      <c r="I536" s="11"/>
    </row>
    <row r="537">
      <c r="B537" s="11"/>
      <c r="C537" s="11"/>
      <c r="D537" s="11"/>
      <c r="E537" s="11"/>
      <c r="F537" s="11"/>
      <c r="G537" s="11"/>
      <c r="H537" s="11"/>
      <c r="I537" s="11"/>
    </row>
    <row r="538">
      <c r="B538" s="11"/>
      <c r="C538" s="11"/>
      <c r="D538" s="11"/>
      <c r="E538" s="11"/>
      <c r="F538" s="11"/>
      <c r="G538" s="11"/>
      <c r="H538" s="11"/>
      <c r="I538" s="11"/>
    </row>
    <row r="539">
      <c r="B539" s="11"/>
      <c r="C539" s="11"/>
      <c r="D539" s="11"/>
      <c r="E539" s="11"/>
      <c r="F539" s="11"/>
      <c r="G539" s="11"/>
      <c r="H539" s="11"/>
      <c r="I539" s="11"/>
    </row>
    <row r="540">
      <c r="B540" s="11"/>
      <c r="C540" s="11"/>
      <c r="D540" s="11"/>
      <c r="E540" s="11"/>
      <c r="F540" s="11"/>
      <c r="G540" s="11"/>
      <c r="H540" s="11"/>
      <c r="I540" s="11"/>
    </row>
    <row r="541">
      <c r="B541" s="11"/>
      <c r="C541" s="11"/>
      <c r="D541" s="11"/>
      <c r="E541" s="11"/>
      <c r="F541" s="11"/>
      <c r="G541" s="11"/>
      <c r="H541" s="11"/>
      <c r="I541" s="11"/>
    </row>
    <row r="542">
      <c r="B542" s="11"/>
      <c r="C542" s="11"/>
      <c r="D542" s="11"/>
      <c r="E542" s="11"/>
      <c r="F542" s="11"/>
      <c r="G542" s="11"/>
      <c r="H542" s="11"/>
      <c r="I542" s="11"/>
    </row>
    <row r="543">
      <c r="B543" s="11"/>
      <c r="C543" s="11"/>
      <c r="D543" s="11"/>
      <c r="E543" s="11"/>
      <c r="F543" s="11"/>
      <c r="G543" s="11"/>
      <c r="H543" s="11"/>
      <c r="I543" s="11"/>
    </row>
    <row r="544">
      <c r="B544" s="11"/>
      <c r="C544" s="11"/>
      <c r="D544" s="11"/>
      <c r="E544" s="11"/>
      <c r="F544" s="11"/>
      <c r="G544" s="11"/>
      <c r="H544" s="11"/>
      <c r="I544" s="11"/>
    </row>
    <row r="545">
      <c r="B545" s="11"/>
      <c r="C545" s="11"/>
      <c r="D545" s="11"/>
      <c r="E545" s="11"/>
      <c r="F545" s="11"/>
      <c r="G545" s="11"/>
      <c r="H545" s="11"/>
      <c r="I545" s="11"/>
    </row>
    <row r="546">
      <c r="B546" s="11"/>
      <c r="C546" s="11"/>
      <c r="D546" s="11"/>
      <c r="E546" s="11"/>
      <c r="F546" s="11"/>
      <c r="G546" s="11"/>
      <c r="H546" s="11"/>
      <c r="I546" s="11"/>
    </row>
    <row r="547">
      <c r="B547" s="11"/>
      <c r="C547" s="11"/>
      <c r="D547" s="11"/>
      <c r="E547" s="11"/>
      <c r="F547" s="11"/>
      <c r="G547" s="11"/>
      <c r="H547" s="11"/>
      <c r="I547" s="11"/>
    </row>
    <row r="548">
      <c r="B548" s="11"/>
      <c r="C548" s="11"/>
      <c r="D548" s="11"/>
      <c r="E548" s="11"/>
      <c r="F548" s="11"/>
      <c r="G548" s="11"/>
      <c r="H548" s="11"/>
      <c r="I548" s="11"/>
    </row>
    <row r="549">
      <c r="B549" s="11"/>
      <c r="C549" s="11"/>
      <c r="D549" s="11"/>
      <c r="E549" s="11"/>
      <c r="F549" s="11"/>
      <c r="G549" s="11"/>
      <c r="H549" s="11"/>
      <c r="I549" s="11"/>
    </row>
    <row r="550">
      <c r="B550" s="11"/>
      <c r="C550" s="11"/>
      <c r="D550" s="11"/>
      <c r="E550" s="11"/>
      <c r="F550" s="11"/>
      <c r="G550" s="11"/>
      <c r="H550" s="11"/>
      <c r="I550" s="11"/>
    </row>
    <row r="551">
      <c r="B551" s="11"/>
      <c r="C551" s="11"/>
      <c r="D551" s="11"/>
      <c r="E551" s="11"/>
      <c r="F551" s="11"/>
      <c r="G551" s="11"/>
      <c r="H551" s="11"/>
      <c r="I551" s="11"/>
    </row>
    <row r="552">
      <c r="B552" s="11"/>
      <c r="C552" s="11"/>
      <c r="D552" s="11"/>
      <c r="E552" s="11"/>
      <c r="F552" s="11"/>
      <c r="G552" s="11"/>
      <c r="H552" s="11"/>
      <c r="I552" s="11"/>
    </row>
    <row r="553">
      <c r="B553" s="11"/>
      <c r="C553" s="11"/>
      <c r="D553" s="11"/>
      <c r="E553" s="11"/>
      <c r="F553" s="11"/>
      <c r="G553" s="11"/>
      <c r="H553" s="11"/>
      <c r="I553" s="11"/>
    </row>
    <row r="554">
      <c r="B554" s="11"/>
      <c r="C554" s="11"/>
      <c r="D554" s="11"/>
      <c r="E554" s="11"/>
      <c r="F554" s="11"/>
      <c r="G554" s="11"/>
      <c r="H554" s="11"/>
      <c r="I554" s="11"/>
    </row>
    <row r="555">
      <c r="B555" s="11"/>
      <c r="C555" s="11"/>
      <c r="D555" s="11"/>
      <c r="E555" s="11"/>
      <c r="F555" s="11"/>
      <c r="G555" s="11"/>
      <c r="H555" s="11"/>
      <c r="I555" s="11"/>
    </row>
    <row r="556">
      <c r="B556" s="11"/>
      <c r="C556" s="11"/>
      <c r="D556" s="11"/>
      <c r="E556" s="11"/>
      <c r="F556" s="11"/>
      <c r="G556" s="11"/>
      <c r="H556" s="11"/>
      <c r="I556" s="11"/>
    </row>
    <row r="557">
      <c r="B557" s="11"/>
      <c r="C557" s="11"/>
      <c r="D557" s="11"/>
      <c r="E557" s="11"/>
      <c r="F557" s="11"/>
      <c r="G557" s="11"/>
      <c r="H557" s="11"/>
      <c r="I557" s="11"/>
    </row>
    <row r="558">
      <c r="B558" s="11"/>
      <c r="C558" s="11"/>
      <c r="D558" s="11"/>
      <c r="E558" s="11"/>
      <c r="F558" s="11"/>
      <c r="G558" s="11"/>
      <c r="H558" s="11"/>
      <c r="I558" s="11"/>
    </row>
    <row r="559">
      <c r="B559" s="11"/>
      <c r="C559" s="11"/>
      <c r="D559" s="11"/>
      <c r="E559" s="11"/>
      <c r="F559" s="11"/>
      <c r="G559" s="11"/>
      <c r="H559" s="11"/>
      <c r="I559" s="11"/>
    </row>
    <row r="560">
      <c r="B560" s="11"/>
      <c r="C560" s="11"/>
      <c r="D560" s="11"/>
      <c r="E560" s="11"/>
      <c r="F560" s="11"/>
      <c r="G560" s="11"/>
      <c r="H560" s="11"/>
      <c r="I560" s="11"/>
    </row>
    <row r="561">
      <c r="B561" s="11"/>
      <c r="C561" s="11"/>
      <c r="D561" s="11"/>
      <c r="E561" s="11"/>
      <c r="F561" s="11"/>
      <c r="G561" s="11"/>
      <c r="H561" s="11"/>
      <c r="I561" s="11"/>
    </row>
    <row r="562">
      <c r="B562" s="11"/>
      <c r="C562" s="11"/>
      <c r="D562" s="11"/>
      <c r="E562" s="11"/>
      <c r="F562" s="11"/>
      <c r="G562" s="11"/>
      <c r="H562" s="11"/>
      <c r="I562" s="11"/>
    </row>
    <row r="563">
      <c r="B563" s="11"/>
      <c r="C563" s="11"/>
      <c r="D563" s="11"/>
      <c r="E563" s="11"/>
      <c r="F563" s="11"/>
      <c r="G563" s="11"/>
      <c r="H563" s="11"/>
      <c r="I563" s="11"/>
    </row>
    <row r="564">
      <c r="B564" s="11"/>
      <c r="C564" s="11"/>
      <c r="D564" s="11"/>
      <c r="E564" s="11"/>
      <c r="F564" s="11"/>
      <c r="G564" s="11"/>
      <c r="H564" s="11"/>
      <c r="I564" s="11"/>
    </row>
    <row r="565">
      <c r="B565" s="11"/>
      <c r="C565" s="11"/>
      <c r="D565" s="11"/>
      <c r="E565" s="11"/>
      <c r="F565" s="11"/>
      <c r="G565" s="11"/>
      <c r="H565" s="11"/>
      <c r="I565" s="11"/>
    </row>
    <row r="566">
      <c r="B566" s="11"/>
      <c r="C566" s="11"/>
      <c r="D566" s="11"/>
      <c r="E566" s="11"/>
      <c r="F566" s="11"/>
      <c r="G566" s="11"/>
      <c r="H566" s="11"/>
      <c r="I566" s="11"/>
    </row>
    <row r="567">
      <c r="B567" s="11"/>
      <c r="C567" s="11"/>
      <c r="D567" s="11"/>
      <c r="E567" s="11"/>
      <c r="F567" s="11"/>
      <c r="G567" s="11"/>
      <c r="H567" s="11"/>
      <c r="I567" s="11"/>
    </row>
    <row r="568">
      <c r="B568" s="11"/>
      <c r="C568" s="11"/>
      <c r="D568" s="11"/>
      <c r="E568" s="11"/>
      <c r="F568" s="11"/>
      <c r="G568" s="11"/>
      <c r="H568" s="11"/>
      <c r="I568" s="11"/>
    </row>
    <row r="569">
      <c r="B569" s="11"/>
      <c r="C569" s="11"/>
      <c r="D569" s="11"/>
      <c r="E569" s="11"/>
      <c r="F569" s="11"/>
      <c r="G569" s="11"/>
      <c r="H569" s="11"/>
      <c r="I569" s="11"/>
    </row>
    <row r="570">
      <c r="B570" s="11"/>
      <c r="C570" s="11"/>
      <c r="D570" s="11"/>
      <c r="E570" s="11"/>
      <c r="F570" s="11"/>
      <c r="G570" s="11"/>
      <c r="H570" s="11"/>
      <c r="I570" s="11"/>
    </row>
    <row r="571">
      <c r="B571" s="11"/>
      <c r="C571" s="11"/>
      <c r="D571" s="11"/>
      <c r="E571" s="11"/>
      <c r="F571" s="11"/>
      <c r="G571" s="11"/>
      <c r="H571" s="11"/>
      <c r="I571" s="11"/>
    </row>
    <row r="572">
      <c r="B572" s="11"/>
      <c r="C572" s="11"/>
      <c r="D572" s="11"/>
      <c r="E572" s="11"/>
      <c r="F572" s="11"/>
      <c r="G572" s="11"/>
      <c r="H572" s="11"/>
      <c r="I572" s="11"/>
    </row>
    <row r="573">
      <c r="B573" s="11"/>
      <c r="C573" s="11"/>
      <c r="D573" s="11"/>
      <c r="E573" s="11"/>
      <c r="F573" s="11"/>
      <c r="G573" s="11"/>
      <c r="H573" s="11"/>
      <c r="I573" s="11"/>
    </row>
    <row r="574">
      <c r="B574" s="11"/>
      <c r="C574" s="11"/>
      <c r="D574" s="11"/>
      <c r="E574" s="11"/>
      <c r="F574" s="11"/>
      <c r="G574" s="11"/>
      <c r="H574" s="11"/>
      <c r="I574" s="11"/>
    </row>
    <row r="575">
      <c r="B575" s="11"/>
      <c r="C575" s="11"/>
      <c r="D575" s="11"/>
      <c r="E575" s="11"/>
      <c r="F575" s="11"/>
      <c r="G575" s="11"/>
      <c r="H575" s="11"/>
      <c r="I575" s="11"/>
    </row>
    <row r="576">
      <c r="B576" s="11"/>
      <c r="C576" s="11"/>
      <c r="D576" s="11"/>
      <c r="E576" s="11"/>
      <c r="F576" s="11"/>
      <c r="G576" s="11"/>
      <c r="H576" s="11"/>
      <c r="I576" s="11"/>
    </row>
    <row r="577">
      <c r="B577" s="11"/>
      <c r="C577" s="11"/>
      <c r="D577" s="11"/>
      <c r="E577" s="11"/>
      <c r="F577" s="11"/>
      <c r="G577" s="11"/>
      <c r="H577" s="11"/>
      <c r="I577" s="11"/>
    </row>
    <row r="578">
      <c r="B578" s="11"/>
      <c r="C578" s="11"/>
      <c r="D578" s="11"/>
      <c r="E578" s="11"/>
      <c r="F578" s="11"/>
      <c r="G578" s="11"/>
      <c r="H578" s="11"/>
      <c r="I578" s="11"/>
    </row>
    <row r="579">
      <c r="B579" s="11"/>
      <c r="C579" s="11"/>
      <c r="D579" s="11"/>
      <c r="E579" s="11"/>
      <c r="F579" s="11"/>
      <c r="G579" s="11"/>
      <c r="H579" s="11"/>
      <c r="I579" s="11"/>
    </row>
    <row r="580">
      <c r="B580" s="11"/>
      <c r="C580" s="11"/>
      <c r="D580" s="11"/>
      <c r="E580" s="11"/>
      <c r="F580" s="11"/>
      <c r="G580" s="11"/>
      <c r="H580" s="11"/>
      <c r="I580" s="11"/>
    </row>
    <row r="581">
      <c r="B581" s="11"/>
      <c r="C581" s="11"/>
      <c r="D581" s="11"/>
      <c r="E581" s="11"/>
      <c r="F581" s="11"/>
      <c r="G581" s="11"/>
      <c r="H581" s="11"/>
      <c r="I581" s="11"/>
    </row>
    <row r="582">
      <c r="B582" s="11"/>
      <c r="C582" s="11"/>
      <c r="D582" s="11"/>
      <c r="E582" s="11"/>
      <c r="F582" s="11"/>
      <c r="G582" s="11"/>
      <c r="H582" s="11"/>
      <c r="I582" s="11"/>
    </row>
    <row r="583">
      <c r="B583" s="11"/>
      <c r="C583" s="11"/>
      <c r="D583" s="11"/>
      <c r="E583" s="11"/>
      <c r="F583" s="11"/>
      <c r="G583" s="11"/>
      <c r="H583" s="11"/>
      <c r="I583" s="11"/>
    </row>
    <row r="584">
      <c r="B584" s="11"/>
      <c r="C584" s="11"/>
      <c r="D584" s="11"/>
      <c r="E584" s="11"/>
      <c r="F584" s="11"/>
      <c r="G584" s="11"/>
      <c r="H584" s="11"/>
      <c r="I584" s="11"/>
    </row>
    <row r="585">
      <c r="B585" s="11"/>
      <c r="C585" s="11"/>
      <c r="D585" s="11"/>
      <c r="E585" s="11"/>
      <c r="F585" s="11"/>
      <c r="G585" s="11"/>
      <c r="H585" s="11"/>
      <c r="I585" s="11"/>
    </row>
    <row r="586">
      <c r="B586" s="11"/>
      <c r="C586" s="11"/>
      <c r="D586" s="11"/>
      <c r="E586" s="11"/>
      <c r="F586" s="11"/>
      <c r="G586" s="11"/>
      <c r="H586" s="11"/>
      <c r="I586" s="11"/>
    </row>
    <row r="587">
      <c r="B587" s="11"/>
      <c r="C587" s="11"/>
      <c r="D587" s="11"/>
      <c r="E587" s="11"/>
      <c r="F587" s="11"/>
      <c r="G587" s="11"/>
      <c r="H587" s="11"/>
      <c r="I587" s="11"/>
    </row>
    <row r="588">
      <c r="B588" s="11"/>
      <c r="C588" s="11"/>
      <c r="D588" s="11"/>
      <c r="E588" s="11"/>
      <c r="F588" s="11"/>
      <c r="G588" s="11"/>
      <c r="H588" s="11"/>
      <c r="I588" s="11"/>
    </row>
    <row r="589">
      <c r="B589" s="11"/>
      <c r="C589" s="11"/>
      <c r="D589" s="11"/>
      <c r="E589" s="11"/>
      <c r="F589" s="11"/>
      <c r="G589" s="11"/>
      <c r="H589" s="11"/>
      <c r="I589" s="11"/>
    </row>
    <row r="590">
      <c r="B590" s="11"/>
      <c r="C590" s="11"/>
      <c r="D590" s="11"/>
      <c r="E590" s="11"/>
      <c r="F590" s="11"/>
      <c r="G590" s="11"/>
      <c r="H590" s="11"/>
      <c r="I590" s="11"/>
    </row>
    <row r="591">
      <c r="B591" s="11"/>
      <c r="C591" s="11"/>
      <c r="D591" s="11"/>
      <c r="E591" s="11"/>
      <c r="F591" s="11"/>
      <c r="G591" s="11"/>
      <c r="H591" s="11"/>
      <c r="I591" s="11"/>
    </row>
    <row r="592">
      <c r="B592" s="11"/>
      <c r="C592" s="11"/>
      <c r="D592" s="11"/>
      <c r="E592" s="11"/>
      <c r="F592" s="11"/>
      <c r="G592" s="11"/>
      <c r="H592" s="11"/>
      <c r="I592" s="11"/>
    </row>
    <row r="593">
      <c r="B593" s="11"/>
      <c r="C593" s="11"/>
      <c r="D593" s="11"/>
      <c r="E593" s="11"/>
      <c r="F593" s="11"/>
      <c r="G593" s="11"/>
      <c r="H593" s="11"/>
      <c r="I593" s="11"/>
    </row>
    <row r="594">
      <c r="B594" s="11"/>
      <c r="C594" s="11"/>
      <c r="D594" s="11"/>
      <c r="E594" s="11"/>
      <c r="F594" s="11"/>
      <c r="G594" s="11"/>
      <c r="H594" s="11"/>
      <c r="I594" s="11"/>
    </row>
    <row r="595">
      <c r="B595" s="11"/>
      <c r="C595" s="11"/>
      <c r="D595" s="11"/>
      <c r="E595" s="11"/>
      <c r="F595" s="11"/>
      <c r="G595" s="11"/>
      <c r="H595" s="11"/>
      <c r="I595" s="11"/>
    </row>
    <row r="596">
      <c r="B596" s="11"/>
      <c r="C596" s="11"/>
      <c r="D596" s="11"/>
      <c r="E596" s="11"/>
      <c r="F596" s="11"/>
      <c r="G596" s="11"/>
      <c r="H596" s="11"/>
      <c r="I596" s="11"/>
    </row>
    <row r="597">
      <c r="B597" s="11"/>
      <c r="C597" s="11"/>
      <c r="D597" s="11"/>
      <c r="E597" s="11"/>
      <c r="F597" s="11"/>
      <c r="G597" s="11"/>
      <c r="H597" s="11"/>
      <c r="I597" s="11"/>
    </row>
    <row r="598">
      <c r="B598" s="11"/>
      <c r="C598" s="11"/>
      <c r="D598" s="11"/>
      <c r="E598" s="11"/>
      <c r="F598" s="11"/>
      <c r="G598" s="11"/>
      <c r="H598" s="11"/>
      <c r="I598" s="11"/>
    </row>
    <row r="599">
      <c r="B599" s="11"/>
      <c r="C599" s="11"/>
      <c r="D599" s="11"/>
      <c r="E599" s="11"/>
      <c r="F599" s="11"/>
      <c r="G599" s="11"/>
      <c r="H599" s="11"/>
      <c r="I599" s="11"/>
    </row>
    <row r="600">
      <c r="B600" s="11"/>
      <c r="C600" s="11"/>
      <c r="D600" s="11"/>
      <c r="E600" s="11"/>
      <c r="F600" s="11"/>
      <c r="G600" s="11"/>
      <c r="H600" s="11"/>
      <c r="I600" s="11"/>
    </row>
    <row r="601">
      <c r="B601" s="11"/>
      <c r="C601" s="11"/>
      <c r="D601" s="11"/>
      <c r="E601" s="11"/>
      <c r="F601" s="11"/>
      <c r="G601" s="11"/>
      <c r="H601" s="11"/>
      <c r="I601" s="11"/>
    </row>
    <row r="602">
      <c r="B602" s="11"/>
      <c r="C602" s="11"/>
      <c r="D602" s="11"/>
      <c r="E602" s="11"/>
      <c r="F602" s="11"/>
      <c r="G602" s="11"/>
      <c r="H602" s="11"/>
      <c r="I602" s="11"/>
    </row>
    <row r="603">
      <c r="B603" s="11"/>
      <c r="C603" s="11"/>
      <c r="D603" s="11"/>
      <c r="E603" s="11"/>
      <c r="F603" s="11"/>
      <c r="G603" s="11"/>
      <c r="H603" s="11"/>
      <c r="I603" s="11"/>
    </row>
    <row r="604">
      <c r="B604" s="11"/>
      <c r="C604" s="11"/>
      <c r="D604" s="11"/>
      <c r="E604" s="11"/>
      <c r="F604" s="11"/>
      <c r="G604" s="11"/>
      <c r="H604" s="11"/>
      <c r="I604" s="11"/>
    </row>
    <row r="605">
      <c r="B605" s="11"/>
      <c r="C605" s="11"/>
      <c r="D605" s="11"/>
      <c r="E605" s="11"/>
      <c r="F605" s="11"/>
      <c r="G605" s="11"/>
      <c r="H605" s="11"/>
      <c r="I605" s="11"/>
    </row>
    <row r="606">
      <c r="B606" s="11"/>
      <c r="C606" s="11"/>
      <c r="D606" s="11"/>
      <c r="E606" s="11"/>
      <c r="F606" s="11"/>
      <c r="G606" s="11"/>
      <c r="H606" s="11"/>
      <c r="I606" s="11"/>
    </row>
    <row r="607">
      <c r="B607" s="11"/>
      <c r="C607" s="11"/>
      <c r="D607" s="11"/>
      <c r="E607" s="11"/>
      <c r="F607" s="11"/>
      <c r="G607" s="11"/>
      <c r="H607" s="11"/>
      <c r="I607" s="11"/>
    </row>
    <row r="608">
      <c r="B608" s="11"/>
      <c r="C608" s="11"/>
      <c r="D608" s="11"/>
      <c r="E608" s="11"/>
      <c r="F608" s="11"/>
      <c r="G608" s="11"/>
      <c r="H608" s="11"/>
      <c r="I608" s="11"/>
    </row>
    <row r="609">
      <c r="B609" s="11"/>
      <c r="C609" s="11"/>
      <c r="D609" s="11"/>
      <c r="E609" s="11"/>
      <c r="F609" s="11"/>
      <c r="G609" s="11"/>
      <c r="H609" s="11"/>
      <c r="I609" s="11"/>
    </row>
    <row r="610">
      <c r="B610" s="11"/>
      <c r="C610" s="11"/>
      <c r="D610" s="11"/>
      <c r="E610" s="11"/>
      <c r="F610" s="11"/>
      <c r="G610" s="11"/>
      <c r="H610" s="11"/>
      <c r="I610" s="11"/>
    </row>
    <row r="611">
      <c r="B611" s="11"/>
      <c r="C611" s="11"/>
      <c r="D611" s="11"/>
      <c r="E611" s="11"/>
      <c r="F611" s="11"/>
      <c r="G611" s="11"/>
      <c r="H611" s="11"/>
      <c r="I611" s="11"/>
    </row>
    <row r="612">
      <c r="B612" s="11"/>
      <c r="C612" s="11"/>
      <c r="D612" s="11"/>
      <c r="E612" s="11"/>
      <c r="F612" s="11"/>
      <c r="G612" s="11"/>
      <c r="H612" s="11"/>
      <c r="I612" s="11"/>
    </row>
    <row r="613">
      <c r="B613" s="11"/>
      <c r="C613" s="11"/>
      <c r="D613" s="11"/>
      <c r="E613" s="11"/>
      <c r="F613" s="11"/>
      <c r="G613" s="11"/>
      <c r="H613" s="11"/>
      <c r="I613" s="11"/>
    </row>
    <row r="614">
      <c r="B614" s="11"/>
      <c r="C614" s="11"/>
      <c r="D614" s="11"/>
      <c r="E614" s="11"/>
      <c r="F614" s="11"/>
      <c r="G614" s="11"/>
      <c r="H614" s="11"/>
      <c r="I614" s="11"/>
    </row>
    <row r="615">
      <c r="B615" s="11"/>
      <c r="C615" s="11"/>
      <c r="D615" s="11"/>
      <c r="E615" s="11"/>
      <c r="F615" s="11"/>
      <c r="G615" s="11"/>
      <c r="H615" s="11"/>
      <c r="I615" s="11"/>
    </row>
    <row r="616">
      <c r="B616" s="11"/>
      <c r="C616" s="11"/>
      <c r="D616" s="11"/>
      <c r="E616" s="11"/>
      <c r="F616" s="11"/>
      <c r="G616" s="11"/>
      <c r="H616" s="11"/>
      <c r="I616" s="11"/>
    </row>
    <row r="617">
      <c r="B617" s="11"/>
      <c r="C617" s="11"/>
      <c r="D617" s="11"/>
      <c r="E617" s="11"/>
      <c r="F617" s="11"/>
      <c r="G617" s="11"/>
      <c r="H617" s="11"/>
      <c r="I617" s="11"/>
    </row>
    <row r="618">
      <c r="B618" s="11"/>
      <c r="C618" s="11"/>
      <c r="D618" s="11"/>
      <c r="E618" s="11"/>
      <c r="F618" s="11"/>
      <c r="G618" s="11"/>
      <c r="H618" s="11"/>
      <c r="I618" s="11"/>
    </row>
    <row r="619">
      <c r="B619" s="11"/>
      <c r="C619" s="11"/>
      <c r="D619" s="11"/>
      <c r="E619" s="11"/>
      <c r="F619" s="11"/>
      <c r="G619" s="11"/>
      <c r="H619" s="11"/>
      <c r="I619" s="11"/>
    </row>
    <row r="620">
      <c r="B620" s="11"/>
      <c r="C620" s="11"/>
      <c r="D620" s="11"/>
      <c r="E620" s="11"/>
      <c r="F620" s="11"/>
      <c r="G620" s="11"/>
      <c r="H620" s="11"/>
      <c r="I620" s="11"/>
    </row>
    <row r="621">
      <c r="B621" s="11"/>
      <c r="C621" s="11"/>
      <c r="D621" s="11"/>
      <c r="E621" s="11"/>
      <c r="F621" s="11"/>
      <c r="G621" s="11"/>
      <c r="H621" s="11"/>
      <c r="I621" s="11"/>
    </row>
    <row r="622">
      <c r="B622" s="11"/>
      <c r="C622" s="11"/>
      <c r="D622" s="11"/>
      <c r="E622" s="11"/>
      <c r="F622" s="11"/>
      <c r="G622" s="11"/>
      <c r="H622" s="11"/>
      <c r="I622" s="11"/>
    </row>
    <row r="623">
      <c r="B623" s="11"/>
      <c r="C623" s="11"/>
      <c r="D623" s="11"/>
      <c r="E623" s="11"/>
      <c r="F623" s="11"/>
      <c r="G623" s="11"/>
      <c r="H623" s="11"/>
      <c r="I623" s="11"/>
    </row>
    <row r="624">
      <c r="B624" s="11"/>
      <c r="C624" s="11"/>
      <c r="D624" s="11"/>
      <c r="E624" s="11"/>
      <c r="F624" s="11"/>
      <c r="G624" s="11"/>
      <c r="H624" s="11"/>
      <c r="I624" s="11"/>
    </row>
    <row r="625">
      <c r="B625" s="11"/>
      <c r="C625" s="11"/>
      <c r="D625" s="11"/>
      <c r="E625" s="11"/>
      <c r="F625" s="11"/>
      <c r="G625" s="11"/>
      <c r="H625" s="11"/>
      <c r="I625" s="11"/>
    </row>
    <row r="626">
      <c r="B626" s="11"/>
      <c r="C626" s="11"/>
      <c r="D626" s="11"/>
      <c r="E626" s="11"/>
      <c r="F626" s="11"/>
      <c r="G626" s="11"/>
      <c r="H626" s="11"/>
      <c r="I626" s="11"/>
    </row>
    <row r="627">
      <c r="B627" s="11"/>
      <c r="C627" s="11"/>
      <c r="D627" s="11"/>
      <c r="E627" s="11"/>
      <c r="F627" s="11"/>
      <c r="G627" s="11"/>
      <c r="H627" s="11"/>
      <c r="I627" s="11"/>
    </row>
    <row r="628">
      <c r="B628" s="11"/>
      <c r="C628" s="11"/>
      <c r="D628" s="11"/>
      <c r="E628" s="11"/>
      <c r="F628" s="11"/>
      <c r="G628" s="11"/>
      <c r="H628" s="11"/>
      <c r="I628" s="11"/>
    </row>
    <row r="629">
      <c r="B629" s="11"/>
      <c r="C629" s="11"/>
      <c r="D629" s="11"/>
      <c r="E629" s="11"/>
      <c r="F629" s="11"/>
      <c r="G629" s="11"/>
      <c r="H629" s="11"/>
      <c r="I629" s="11"/>
    </row>
    <row r="630">
      <c r="B630" s="11"/>
      <c r="C630" s="11"/>
      <c r="D630" s="11"/>
      <c r="E630" s="11"/>
      <c r="F630" s="11"/>
      <c r="G630" s="11"/>
      <c r="H630" s="11"/>
      <c r="I630" s="11"/>
    </row>
    <row r="631">
      <c r="B631" s="11"/>
      <c r="C631" s="11"/>
      <c r="D631" s="11"/>
      <c r="E631" s="11"/>
      <c r="F631" s="11"/>
      <c r="G631" s="11"/>
      <c r="H631" s="11"/>
      <c r="I631" s="11"/>
    </row>
    <row r="632">
      <c r="B632" s="11"/>
      <c r="C632" s="11"/>
      <c r="D632" s="11"/>
      <c r="E632" s="11"/>
      <c r="F632" s="11"/>
      <c r="G632" s="11"/>
      <c r="H632" s="11"/>
      <c r="I632" s="11"/>
    </row>
    <row r="633">
      <c r="B633" s="11"/>
      <c r="C633" s="11"/>
      <c r="D633" s="11"/>
      <c r="E633" s="11"/>
      <c r="F633" s="11"/>
      <c r="G633" s="11"/>
      <c r="H633" s="11"/>
      <c r="I633" s="11"/>
    </row>
    <row r="634">
      <c r="B634" s="11"/>
      <c r="C634" s="11"/>
      <c r="D634" s="11"/>
      <c r="E634" s="11"/>
      <c r="F634" s="11"/>
      <c r="G634" s="11"/>
      <c r="H634" s="11"/>
      <c r="I634" s="11"/>
    </row>
    <row r="635">
      <c r="B635" s="11"/>
      <c r="C635" s="11"/>
      <c r="D635" s="11"/>
      <c r="E635" s="11"/>
      <c r="F635" s="11"/>
      <c r="G635" s="11"/>
      <c r="H635" s="11"/>
      <c r="I635" s="11"/>
    </row>
    <row r="636">
      <c r="B636" s="11"/>
      <c r="C636" s="11"/>
      <c r="D636" s="11"/>
      <c r="E636" s="11"/>
      <c r="F636" s="11"/>
      <c r="G636" s="11"/>
      <c r="H636" s="11"/>
      <c r="I636" s="11"/>
    </row>
    <row r="637">
      <c r="B637" s="11"/>
      <c r="C637" s="11"/>
      <c r="D637" s="11"/>
      <c r="E637" s="11"/>
      <c r="F637" s="11"/>
      <c r="G637" s="11"/>
      <c r="H637" s="11"/>
      <c r="I637" s="11"/>
    </row>
    <row r="638">
      <c r="B638" s="11"/>
      <c r="C638" s="11"/>
      <c r="D638" s="11"/>
      <c r="E638" s="11"/>
      <c r="F638" s="11"/>
      <c r="G638" s="11"/>
      <c r="H638" s="11"/>
      <c r="I638" s="11"/>
    </row>
    <row r="639">
      <c r="B639" s="11"/>
      <c r="C639" s="11"/>
      <c r="D639" s="11"/>
      <c r="E639" s="11"/>
      <c r="F639" s="11"/>
      <c r="G639" s="11"/>
      <c r="H639" s="11"/>
      <c r="I639" s="11"/>
    </row>
    <row r="640">
      <c r="B640" s="11"/>
      <c r="C640" s="11"/>
      <c r="D640" s="11"/>
      <c r="E640" s="11"/>
      <c r="F640" s="11"/>
      <c r="G640" s="11"/>
      <c r="H640" s="11"/>
      <c r="I640" s="11"/>
    </row>
    <row r="641">
      <c r="B641" s="11"/>
      <c r="C641" s="11"/>
      <c r="D641" s="11"/>
      <c r="E641" s="11"/>
      <c r="F641" s="11"/>
      <c r="G641" s="11"/>
      <c r="H641" s="11"/>
      <c r="I641" s="11"/>
    </row>
    <row r="642">
      <c r="B642" s="11"/>
      <c r="C642" s="11"/>
      <c r="D642" s="11"/>
      <c r="E642" s="11"/>
      <c r="F642" s="11"/>
      <c r="G642" s="11"/>
      <c r="H642" s="11"/>
      <c r="I642" s="11"/>
    </row>
    <row r="643">
      <c r="B643" s="11"/>
      <c r="C643" s="11"/>
      <c r="D643" s="11"/>
      <c r="E643" s="11"/>
      <c r="F643" s="11"/>
      <c r="G643" s="11"/>
      <c r="H643" s="11"/>
      <c r="I643" s="11"/>
    </row>
    <row r="644">
      <c r="B644" s="11"/>
      <c r="C644" s="11"/>
      <c r="D644" s="11"/>
      <c r="E644" s="11"/>
      <c r="F644" s="11"/>
      <c r="G644" s="11"/>
      <c r="H644" s="11"/>
      <c r="I644" s="11"/>
    </row>
    <row r="645">
      <c r="B645" s="11"/>
      <c r="C645" s="11"/>
      <c r="D645" s="11"/>
      <c r="E645" s="11"/>
      <c r="F645" s="11"/>
      <c r="G645" s="11"/>
      <c r="H645" s="11"/>
      <c r="I645" s="11"/>
    </row>
    <row r="646">
      <c r="B646" s="11"/>
      <c r="C646" s="11"/>
      <c r="D646" s="11"/>
      <c r="E646" s="11"/>
      <c r="F646" s="11"/>
      <c r="G646" s="11"/>
      <c r="H646" s="11"/>
      <c r="I646" s="11"/>
    </row>
    <row r="647">
      <c r="B647" s="11"/>
      <c r="C647" s="11"/>
      <c r="D647" s="11"/>
      <c r="E647" s="11"/>
      <c r="F647" s="11"/>
      <c r="G647" s="11"/>
      <c r="H647" s="11"/>
      <c r="I647" s="11"/>
    </row>
    <row r="648">
      <c r="B648" s="11"/>
      <c r="C648" s="11"/>
      <c r="D648" s="11"/>
      <c r="E648" s="11"/>
      <c r="F648" s="11"/>
      <c r="G648" s="11"/>
      <c r="H648" s="11"/>
      <c r="I648" s="11"/>
    </row>
    <row r="649">
      <c r="B649" s="11"/>
      <c r="C649" s="11"/>
      <c r="D649" s="11"/>
      <c r="E649" s="11"/>
      <c r="F649" s="11"/>
      <c r="G649" s="11"/>
      <c r="H649" s="11"/>
      <c r="I649" s="11"/>
    </row>
    <row r="650">
      <c r="B650" s="11"/>
      <c r="C650" s="11"/>
      <c r="D650" s="11"/>
      <c r="E650" s="11"/>
      <c r="F650" s="11"/>
      <c r="G650" s="11"/>
      <c r="H650" s="11"/>
      <c r="I650" s="11"/>
    </row>
    <row r="651">
      <c r="B651" s="11"/>
      <c r="C651" s="11"/>
      <c r="D651" s="11"/>
      <c r="E651" s="11"/>
      <c r="F651" s="11"/>
      <c r="G651" s="11"/>
      <c r="H651" s="11"/>
      <c r="I651" s="11"/>
    </row>
    <row r="652">
      <c r="B652" s="11"/>
      <c r="C652" s="11"/>
      <c r="D652" s="11"/>
      <c r="E652" s="11"/>
      <c r="F652" s="11"/>
      <c r="G652" s="11"/>
      <c r="H652" s="11"/>
      <c r="I652" s="11"/>
    </row>
    <row r="653">
      <c r="B653" s="11"/>
      <c r="C653" s="11"/>
      <c r="D653" s="11"/>
      <c r="E653" s="11"/>
      <c r="F653" s="11"/>
      <c r="G653" s="11"/>
      <c r="H653" s="11"/>
      <c r="I653" s="11"/>
    </row>
    <row r="654">
      <c r="B654" s="11"/>
      <c r="C654" s="11"/>
      <c r="D654" s="11"/>
      <c r="E654" s="11"/>
      <c r="F654" s="11"/>
      <c r="G654" s="11"/>
      <c r="H654" s="11"/>
      <c r="I654" s="11"/>
    </row>
    <row r="655">
      <c r="B655" s="11"/>
      <c r="C655" s="11"/>
      <c r="D655" s="11"/>
      <c r="E655" s="11"/>
      <c r="F655" s="11"/>
      <c r="G655" s="11"/>
      <c r="H655" s="11"/>
      <c r="I655" s="11"/>
    </row>
    <row r="656">
      <c r="B656" s="11"/>
      <c r="C656" s="11"/>
      <c r="D656" s="11"/>
      <c r="E656" s="11"/>
      <c r="F656" s="11"/>
      <c r="G656" s="11"/>
      <c r="H656" s="11"/>
      <c r="I656" s="11"/>
    </row>
    <row r="657">
      <c r="B657" s="11"/>
      <c r="C657" s="11"/>
      <c r="D657" s="11"/>
      <c r="E657" s="11"/>
      <c r="F657" s="11"/>
      <c r="G657" s="11"/>
      <c r="H657" s="11"/>
      <c r="I657" s="11"/>
    </row>
    <row r="658">
      <c r="B658" s="11"/>
      <c r="C658" s="11"/>
      <c r="D658" s="11"/>
      <c r="E658" s="11"/>
      <c r="F658" s="11"/>
      <c r="G658" s="11"/>
      <c r="H658" s="11"/>
      <c r="I658" s="11"/>
    </row>
    <row r="659">
      <c r="B659" s="11"/>
      <c r="C659" s="11"/>
      <c r="D659" s="11"/>
      <c r="E659" s="11"/>
      <c r="F659" s="11"/>
      <c r="G659" s="11"/>
      <c r="H659" s="11"/>
      <c r="I659" s="11"/>
    </row>
    <row r="660">
      <c r="B660" s="11"/>
      <c r="C660" s="11"/>
      <c r="D660" s="11"/>
      <c r="E660" s="11"/>
      <c r="F660" s="11"/>
      <c r="G660" s="11"/>
      <c r="H660" s="11"/>
      <c r="I660" s="11"/>
    </row>
    <row r="661">
      <c r="B661" s="11"/>
      <c r="C661" s="11"/>
      <c r="D661" s="11"/>
      <c r="E661" s="11"/>
      <c r="F661" s="11"/>
      <c r="G661" s="11"/>
      <c r="H661" s="11"/>
      <c r="I661" s="11"/>
    </row>
    <row r="662">
      <c r="B662" s="11"/>
      <c r="C662" s="11"/>
      <c r="D662" s="11"/>
      <c r="E662" s="11"/>
      <c r="F662" s="11"/>
      <c r="G662" s="11"/>
      <c r="H662" s="11"/>
      <c r="I662" s="11"/>
    </row>
    <row r="663">
      <c r="B663" s="11"/>
      <c r="C663" s="11"/>
      <c r="D663" s="11"/>
      <c r="E663" s="11"/>
      <c r="F663" s="11"/>
      <c r="G663" s="11"/>
      <c r="H663" s="11"/>
      <c r="I663" s="11"/>
    </row>
    <row r="664">
      <c r="B664" s="11"/>
      <c r="C664" s="11"/>
      <c r="D664" s="11"/>
      <c r="E664" s="11"/>
      <c r="F664" s="11"/>
      <c r="G664" s="11"/>
      <c r="H664" s="11"/>
      <c r="I664" s="11"/>
    </row>
    <row r="665">
      <c r="B665" s="11"/>
      <c r="C665" s="11"/>
      <c r="D665" s="11"/>
      <c r="E665" s="11"/>
      <c r="F665" s="11"/>
      <c r="G665" s="11"/>
      <c r="H665" s="11"/>
      <c r="I665" s="11"/>
    </row>
    <row r="666">
      <c r="B666" s="11"/>
      <c r="C666" s="11"/>
      <c r="D666" s="11"/>
      <c r="E666" s="11"/>
      <c r="F666" s="11"/>
      <c r="G666" s="11"/>
      <c r="H666" s="11"/>
      <c r="I666" s="11"/>
    </row>
    <row r="667">
      <c r="B667" s="11"/>
      <c r="C667" s="11"/>
      <c r="D667" s="11"/>
      <c r="E667" s="11"/>
      <c r="F667" s="11"/>
      <c r="G667" s="11"/>
      <c r="H667" s="11"/>
      <c r="I667" s="11"/>
    </row>
    <row r="668">
      <c r="B668" s="11"/>
      <c r="C668" s="11"/>
      <c r="D668" s="11"/>
      <c r="E668" s="11"/>
      <c r="F668" s="11"/>
      <c r="G668" s="11"/>
      <c r="H668" s="11"/>
      <c r="I668" s="11"/>
    </row>
    <row r="669">
      <c r="B669" s="11"/>
      <c r="C669" s="11"/>
      <c r="D669" s="11"/>
      <c r="E669" s="11"/>
      <c r="F669" s="11"/>
      <c r="G669" s="11"/>
      <c r="H669" s="11"/>
      <c r="I669" s="11"/>
    </row>
    <row r="670">
      <c r="B670" s="11"/>
      <c r="C670" s="11"/>
      <c r="D670" s="11"/>
      <c r="E670" s="11"/>
      <c r="F670" s="11"/>
      <c r="G670" s="11"/>
      <c r="H670" s="11"/>
      <c r="I670" s="11"/>
    </row>
    <row r="671">
      <c r="B671" s="11"/>
      <c r="C671" s="11"/>
      <c r="D671" s="11"/>
      <c r="E671" s="11"/>
      <c r="F671" s="11"/>
      <c r="G671" s="11"/>
      <c r="H671" s="11"/>
      <c r="I671" s="11"/>
    </row>
    <row r="672">
      <c r="B672" s="11"/>
      <c r="C672" s="11"/>
      <c r="D672" s="11"/>
      <c r="E672" s="11"/>
      <c r="F672" s="11"/>
      <c r="G672" s="11"/>
      <c r="H672" s="11"/>
      <c r="I672" s="11"/>
    </row>
    <row r="673">
      <c r="B673" s="11"/>
      <c r="C673" s="11"/>
      <c r="D673" s="11"/>
      <c r="E673" s="11"/>
      <c r="F673" s="11"/>
      <c r="G673" s="11"/>
      <c r="H673" s="11"/>
      <c r="I673" s="11"/>
    </row>
    <row r="674">
      <c r="B674" s="11"/>
      <c r="C674" s="11"/>
      <c r="D674" s="11"/>
      <c r="E674" s="11"/>
      <c r="F674" s="11"/>
      <c r="G674" s="11"/>
      <c r="H674" s="11"/>
      <c r="I674" s="11"/>
    </row>
    <row r="675">
      <c r="B675" s="11"/>
      <c r="C675" s="11"/>
      <c r="D675" s="11"/>
      <c r="E675" s="11"/>
      <c r="F675" s="11"/>
      <c r="G675" s="11"/>
      <c r="H675" s="11"/>
      <c r="I675" s="11"/>
    </row>
    <row r="676">
      <c r="B676" s="11"/>
      <c r="C676" s="11"/>
      <c r="D676" s="11"/>
      <c r="E676" s="11"/>
      <c r="F676" s="11"/>
      <c r="G676" s="11"/>
      <c r="H676" s="11"/>
      <c r="I676" s="11"/>
    </row>
    <row r="677">
      <c r="B677" s="11"/>
      <c r="C677" s="11"/>
      <c r="D677" s="11"/>
      <c r="E677" s="11"/>
      <c r="F677" s="11"/>
      <c r="G677" s="11"/>
      <c r="H677" s="11"/>
      <c r="I677" s="11"/>
    </row>
    <row r="678">
      <c r="B678" s="11"/>
      <c r="C678" s="11"/>
      <c r="D678" s="11"/>
      <c r="E678" s="11"/>
      <c r="F678" s="11"/>
      <c r="G678" s="11"/>
      <c r="H678" s="11"/>
      <c r="I678" s="11"/>
    </row>
    <row r="679">
      <c r="B679" s="11"/>
      <c r="C679" s="11"/>
      <c r="D679" s="11"/>
      <c r="E679" s="11"/>
      <c r="F679" s="11"/>
      <c r="G679" s="11"/>
      <c r="H679" s="11"/>
      <c r="I679" s="11"/>
    </row>
    <row r="680">
      <c r="B680" s="11"/>
      <c r="C680" s="11"/>
      <c r="D680" s="11"/>
      <c r="E680" s="11"/>
      <c r="F680" s="11"/>
      <c r="G680" s="11"/>
      <c r="H680" s="11"/>
      <c r="I680" s="11"/>
    </row>
    <row r="681">
      <c r="B681" s="11"/>
      <c r="C681" s="11"/>
      <c r="D681" s="11"/>
      <c r="E681" s="11"/>
      <c r="F681" s="11"/>
      <c r="G681" s="11"/>
      <c r="H681" s="11"/>
      <c r="I681" s="11"/>
    </row>
    <row r="682">
      <c r="B682" s="11"/>
      <c r="C682" s="11"/>
      <c r="D682" s="11"/>
      <c r="E682" s="11"/>
      <c r="F682" s="11"/>
      <c r="G682" s="11"/>
      <c r="H682" s="11"/>
      <c r="I682" s="11"/>
    </row>
    <row r="683">
      <c r="B683" s="11"/>
      <c r="C683" s="11"/>
      <c r="D683" s="11"/>
      <c r="E683" s="11"/>
      <c r="F683" s="11"/>
      <c r="G683" s="11"/>
      <c r="H683" s="11"/>
      <c r="I683" s="11"/>
    </row>
    <row r="684">
      <c r="B684" s="11"/>
      <c r="C684" s="11"/>
      <c r="D684" s="11"/>
      <c r="E684" s="11"/>
      <c r="F684" s="11"/>
      <c r="G684" s="11"/>
      <c r="H684" s="11"/>
      <c r="I684" s="11"/>
    </row>
    <row r="685">
      <c r="B685" s="11"/>
      <c r="C685" s="11"/>
      <c r="D685" s="11"/>
      <c r="E685" s="11"/>
      <c r="F685" s="11"/>
      <c r="G685" s="11"/>
      <c r="H685" s="11"/>
      <c r="I685" s="11"/>
    </row>
    <row r="686">
      <c r="B686" s="11"/>
      <c r="C686" s="11"/>
      <c r="D686" s="11"/>
      <c r="E686" s="11"/>
      <c r="F686" s="11"/>
      <c r="G686" s="11"/>
      <c r="H686" s="11"/>
      <c r="I686" s="11"/>
    </row>
    <row r="687">
      <c r="B687" s="11"/>
      <c r="C687" s="11"/>
      <c r="D687" s="11"/>
      <c r="E687" s="11"/>
      <c r="F687" s="11"/>
      <c r="G687" s="11"/>
      <c r="H687" s="11"/>
      <c r="I687" s="11"/>
    </row>
    <row r="688">
      <c r="B688" s="11"/>
      <c r="C688" s="11"/>
      <c r="D688" s="11"/>
      <c r="E688" s="11"/>
      <c r="F688" s="11"/>
      <c r="G688" s="11"/>
      <c r="H688" s="11"/>
      <c r="I688" s="11"/>
    </row>
    <row r="689">
      <c r="B689" s="11"/>
      <c r="C689" s="11"/>
      <c r="D689" s="11"/>
      <c r="E689" s="11"/>
      <c r="F689" s="11"/>
      <c r="G689" s="11"/>
      <c r="H689" s="11"/>
      <c r="I689" s="11"/>
    </row>
    <row r="690">
      <c r="B690" s="11"/>
      <c r="C690" s="11"/>
      <c r="D690" s="11"/>
      <c r="E690" s="11"/>
      <c r="F690" s="11"/>
      <c r="G690" s="11"/>
      <c r="H690" s="11"/>
      <c r="I690" s="11"/>
    </row>
    <row r="691">
      <c r="B691" s="11"/>
      <c r="C691" s="11"/>
      <c r="D691" s="11"/>
      <c r="E691" s="11"/>
      <c r="F691" s="11"/>
      <c r="G691" s="11"/>
      <c r="H691" s="11"/>
      <c r="I691" s="11"/>
    </row>
    <row r="692">
      <c r="B692" s="11"/>
      <c r="C692" s="11"/>
      <c r="D692" s="11"/>
      <c r="E692" s="11"/>
      <c r="F692" s="11"/>
      <c r="G692" s="11"/>
      <c r="H692" s="11"/>
      <c r="I692" s="11"/>
    </row>
    <row r="693">
      <c r="B693" s="11"/>
      <c r="C693" s="11"/>
      <c r="D693" s="11"/>
      <c r="E693" s="11"/>
      <c r="F693" s="11"/>
      <c r="G693" s="11"/>
      <c r="H693" s="11"/>
      <c r="I693" s="11"/>
    </row>
    <row r="694">
      <c r="B694" s="11"/>
      <c r="C694" s="11"/>
      <c r="D694" s="11"/>
      <c r="E694" s="11"/>
      <c r="F694" s="11"/>
      <c r="G694" s="11"/>
      <c r="H694" s="11"/>
      <c r="I694" s="11"/>
    </row>
    <row r="695">
      <c r="B695" s="11"/>
      <c r="C695" s="11"/>
      <c r="D695" s="11"/>
      <c r="E695" s="11"/>
      <c r="F695" s="11"/>
      <c r="G695" s="11"/>
      <c r="H695" s="11"/>
      <c r="I695" s="11"/>
    </row>
    <row r="696">
      <c r="B696" s="11"/>
      <c r="C696" s="11"/>
      <c r="D696" s="11"/>
      <c r="E696" s="11"/>
      <c r="F696" s="11"/>
      <c r="G696" s="11"/>
      <c r="H696" s="11"/>
      <c r="I696" s="11"/>
    </row>
    <row r="697">
      <c r="B697" s="11"/>
      <c r="C697" s="11"/>
      <c r="D697" s="11"/>
      <c r="E697" s="11"/>
      <c r="F697" s="11"/>
      <c r="G697" s="11"/>
      <c r="H697" s="11"/>
      <c r="I697" s="11"/>
    </row>
    <row r="698">
      <c r="B698" s="11"/>
      <c r="C698" s="11"/>
      <c r="D698" s="11"/>
      <c r="E698" s="11"/>
      <c r="F698" s="11"/>
      <c r="G698" s="11"/>
      <c r="H698" s="11"/>
      <c r="I698" s="11"/>
    </row>
    <row r="699">
      <c r="B699" s="11"/>
      <c r="C699" s="11"/>
      <c r="D699" s="11"/>
      <c r="E699" s="11"/>
      <c r="F699" s="11"/>
      <c r="G699" s="11"/>
      <c r="H699" s="11"/>
      <c r="I699" s="11"/>
    </row>
    <row r="700">
      <c r="B700" s="11"/>
      <c r="C700" s="11"/>
      <c r="D700" s="11"/>
      <c r="E700" s="11"/>
      <c r="F700" s="11"/>
      <c r="G700" s="11"/>
      <c r="H700" s="11"/>
      <c r="I700" s="11"/>
    </row>
    <row r="701">
      <c r="B701" s="11"/>
      <c r="C701" s="11"/>
      <c r="D701" s="11"/>
      <c r="E701" s="11"/>
      <c r="F701" s="11"/>
      <c r="G701" s="11"/>
      <c r="H701" s="11"/>
      <c r="I701" s="11"/>
    </row>
    <row r="702">
      <c r="B702" s="11"/>
      <c r="C702" s="11"/>
      <c r="D702" s="11"/>
      <c r="E702" s="11"/>
      <c r="F702" s="11"/>
      <c r="G702" s="11"/>
      <c r="H702" s="11"/>
      <c r="I702" s="11"/>
    </row>
    <row r="703">
      <c r="B703" s="11"/>
      <c r="C703" s="11"/>
      <c r="D703" s="11"/>
      <c r="E703" s="11"/>
      <c r="F703" s="11"/>
      <c r="G703" s="11"/>
      <c r="H703" s="11"/>
      <c r="I703" s="11"/>
    </row>
    <row r="704">
      <c r="B704" s="11"/>
      <c r="C704" s="11"/>
      <c r="D704" s="11"/>
      <c r="E704" s="11"/>
      <c r="F704" s="11"/>
      <c r="G704" s="11"/>
      <c r="H704" s="11"/>
      <c r="I704" s="11"/>
    </row>
    <row r="705">
      <c r="B705" s="11"/>
      <c r="C705" s="11"/>
      <c r="D705" s="11"/>
      <c r="E705" s="11"/>
      <c r="F705" s="11"/>
      <c r="G705" s="11"/>
      <c r="H705" s="11"/>
      <c r="I705" s="11"/>
    </row>
    <row r="706">
      <c r="B706" s="11"/>
      <c r="C706" s="11"/>
      <c r="D706" s="11"/>
      <c r="E706" s="11"/>
      <c r="F706" s="11"/>
      <c r="G706" s="11"/>
      <c r="H706" s="11"/>
      <c r="I706" s="11"/>
    </row>
    <row r="707">
      <c r="B707" s="11"/>
      <c r="C707" s="11"/>
      <c r="D707" s="11"/>
      <c r="E707" s="11"/>
      <c r="F707" s="11"/>
      <c r="G707" s="11"/>
      <c r="H707" s="11"/>
      <c r="I707" s="11"/>
    </row>
    <row r="708">
      <c r="B708" s="11"/>
      <c r="C708" s="11"/>
      <c r="D708" s="11"/>
      <c r="E708" s="11"/>
      <c r="F708" s="11"/>
      <c r="G708" s="11"/>
      <c r="H708" s="11"/>
      <c r="I708" s="11"/>
    </row>
    <row r="709">
      <c r="B709" s="11"/>
      <c r="C709" s="11"/>
      <c r="D709" s="11"/>
      <c r="E709" s="11"/>
      <c r="F709" s="11"/>
      <c r="G709" s="11"/>
      <c r="H709" s="11"/>
      <c r="I709" s="11"/>
    </row>
    <row r="710">
      <c r="B710" s="11"/>
      <c r="C710" s="11"/>
      <c r="D710" s="11"/>
      <c r="E710" s="11"/>
      <c r="F710" s="11"/>
      <c r="G710" s="11"/>
      <c r="H710" s="11"/>
      <c r="I710" s="11"/>
    </row>
    <row r="711">
      <c r="B711" s="11"/>
      <c r="C711" s="11"/>
      <c r="D711" s="11"/>
      <c r="E711" s="11"/>
      <c r="F711" s="11"/>
      <c r="G711" s="11"/>
      <c r="H711" s="11"/>
      <c r="I711" s="11"/>
    </row>
    <row r="712">
      <c r="B712" s="11"/>
      <c r="C712" s="11"/>
      <c r="D712" s="11"/>
      <c r="E712" s="11"/>
      <c r="F712" s="11"/>
      <c r="G712" s="11"/>
      <c r="H712" s="11"/>
      <c r="I712" s="11"/>
    </row>
    <row r="713">
      <c r="B713" s="11"/>
      <c r="C713" s="11"/>
      <c r="D713" s="11"/>
      <c r="E713" s="11"/>
      <c r="F713" s="11"/>
      <c r="G713" s="11"/>
      <c r="H713" s="11"/>
      <c r="I713" s="11"/>
    </row>
    <row r="714">
      <c r="B714" s="11"/>
      <c r="C714" s="11"/>
      <c r="D714" s="11"/>
      <c r="E714" s="11"/>
      <c r="F714" s="11"/>
      <c r="G714" s="11"/>
      <c r="H714" s="11"/>
      <c r="I714" s="11"/>
    </row>
    <row r="715">
      <c r="B715" s="11"/>
      <c r="C715" s="11"/>
      <c r="D715" s="11"/>
      <c r="E715" s="11"/>
      <c r="F715" s="11"/>
      <c r="G715" s="11"/>
      <c r="H715" s="11"/>
      <c r="I715" s="11"/>
    </row>
    <row r="716">
      <c r="B716" s="11"/>
      <c r="C716" s="11"/>
      <c r="D716" s="11"/>
      <c r="E716" s="11"/>
      <c r="F716" s="11"/>
      <c r="G716" s="11"/>
      <c r="H716" s="11"/>
      <c r="I716" s="11"/>
    </row>
    <row r="717">
      <c r="B717" s="11"/>
      <c r="C717" s="11"/>
      <c r="D717" s="11"/>
      <c r="E717" s="11"/>
      <c r="F717" s="11"/>
      <c r="G717" s="11"/>
      <c r="H717" s="11"/>
      <c r="I717" s="11"/>
    </row>
    <row r="718">
      <c r="B718" s="11"/>
      <c r="C718" s="11"/>
      <c r="D718" s="11"/>
      <c r="E718" s="11"/>
      <c r="F718" s="11"/>
      <c r="G718" s="11"/>
      <c r="H718" s="11"/>
      <c r="I718" s="11"/>
    </row>
    <row r="719">
      <c r="B719" s="11"/>
      <c r="C719" s="11"/>
      <c r="D719" s="11"/>
      <c r="E719" s="11"/>
      <c r="F719" s="11"/>
      <c r="G719" s="11"/>
      <c r="H719" s="11"/>
      <c r="I719" s="11"/>
    </row>
    <row r="720">
      <c r="B720" s="11"/>
      <c r="C720" s="11"/>
      <c r="D720" s="11"/>
      <c r="E720" s="11"/>
      <c r="F720" s="11"/>
      <c r="G720" s="11"/>
      <c r="H720" s="11"/>
      <c r="I720" s="11"/>
    </row>
    <row r="721">
      <c r="B721" s="11"/>
      <c r="C721" s="11"/>
      <c r="D721" s="11"/>
      <c r="E721" s="11"/>
      <c r="F721" s="11"/>
      <c r="G721" s="11"/>
      <c r="H721" s="11"/>
      <c r="I721" s="11"/>
    </row>
    <row r="722">
      <c r="B722" s="11"/>
      <c r="C722" s="11"/>
      <c r="D722" s="11"/>
      <c r="E722" s="11"/>
      <c r="F722" s="11"/>
      <c r="G722" s="11"/>
      <c r="H722" s="11"/>
      <c r="I722" s="11"/>
    </row>
    <row r="723">
      <c r="B723" s="11"/>
      <c r="C723" s="11"/>
      <c r="D723" s="11"/>
      <c r="E723" s="11"/>
      <c r="F723" s="11"/>
      <c r="G723" s="11"/>
      <c r="H723" s="11"/>
      <c r="I723" s="11"/>
    </row>
    <row r="724">
      <c r="B724" s="11"/>
      <c r="C724" s="11"/>
      <c r="D724" s="11"/>
      <c r="E724" s="11"/>
      <c r="F724" s="11"/>
      <c r="G724" s="11"/>
      <c r="H724" s="11"/>
      <c r="I724" s="11"/>
    </row>
    <row r="725">
      <c r="B725" s="11"/>
      <c r="C725" s="11"/>
      <c r="D725" s="11"/>
      <c r="E725" s="11"/>
      <c r="F725" s="11"/>
      <c r="G725" s="11"/>
      <c r="H725" s="11"/>
      <c r="I725" s="11"/>
    </row>
    <row r="726">
      <c r="B726" s="11"/>
      <c r="C726" s="11"/>
      <c r="D726" s="11"/>
      <c r="E726" s="11"/>
      <c r="F726" s="11"/>
      <c r="G726" s="11"/>
      <c r="H726" s="11"/>
      <c r="I726" s="11"/>
    </row>
    <row r="727">
      <c r="B727" s="11"/>
      <c r="C727" s="11"/>
      <c r="D727" s="11"/>
      <c r="E727" s="11"/>
      <c r="F727" s="11"/>
      <c r="G727" s="11"/>
      <c r="H727" s="11"/>
      <c r="I727" s="11"/>
    </row>
    <row r="728">
      <c r="B728" s="11"/>
      <c r="C728" s="11"/>
      <c r="D728" s="11"/>
      <c r="E728" s="11"/>
      <c r="F728" s="11"/>
      <c r="G728" s="11"/>
      <c r="H728" s="11"/>
      <c r="I728" s="11"/>
    </row>
    <row r="729">
      <c r="B729" s="11"/>
      <c r="C729" s="11"/>
      <c r="D729" s="11"/>
      <c r="E729" s="11"/>
      <c r="F729" s="11"/>
      <c r="G729" s="11"/>
      <c r="H729" s="11"/>
      <c r="I729" s="11"/>
    </row>
    <row r="730">
      <c r="B730" s="11"/>
      <c r="C730" s="11"/>
      <c r="D730" s="11"/>
      <c r="E730" s="11"/>
      <c r="F730" s="11"/>
      <c r="G730" s="11"/>
      <c r="H730" s="11"/>
      <c r="I730" s="11"/>
    </row>
    <row r="731">
      <c r="B731" s="11"/>
      <c r="C731" s="11"/>
      <c r="D731" s="11"/>
      <c r="E731" s="11"/>
      <c r="F731" s="11"/>
      <c r="G731" s="11"/>
      <c r="H731" s="11"/>
      <c r="I731" s="11"/>
    </row>
    <row r="732">
      <c r="B732" s="11"/>
      <c r="C732" s="11"/>
      <c r="D732" s="11"/>
      <c r="E732" s="11"/>
      <c r="F732" s="11"/>
      <c r="G732" s="11"/>
      <c r="H732" s="11"/>
      <c r="I732" s="11"/>
    </row>
    <row r="733">
      <c r="B733" s="11"/>
      <c r="C733" s="11"/>
      <c r="D733" s="11"/>
      <c r="E733" s="11"/>
      <c r="F733" s="11"/>
      <c r="G733" s="11"/>
      <c r="H733" s="11"/>
      <c r="I733" s="11"/>
    </row>
    <row r="734">
      <c r="B734" s="11"/>
      <c r="C734" s="11"/>
      <c r="D734" s="11"/>
      <c r="E734" s="11"/>
      <c r="F734" s="11"/>
      <c r="G734" s="11"/>
      <c r="H734" s="11"/>
      <c r="I734" s="11"/>
    </row>
    <row r="735">
      <c r="B735" s="11"/>
      <c r="C735" s="11"/>
      <c r="D735" s="11"/>
      <c r="E735" s="11"/>
      <c r="F735" s="11"/>
      <c r="G735" s="11"/>
      <c r="H735" s="11"/>
      <c r="I735" s="11"/>
    </row>
    <row r="736">
      <c r="B736" s="11"/>
      <c r="C736" s="11"/>
      <c r="D736" s="11"/>
      <c r="E736" s="11"/>
      <c r="F736" s="11"/>
      <c r="G736" s="11"/>
      <c r="H736" s="11"/>
      <c r="I736" s="11"/>
    </row>
    <row r="737">
      <c r="B737" s="11"/>
      <c r="C737" s="11"/>
      <c r="D737" s="11"/>
      <c r="E737" s="11"/>
      <c r="F737" s="11"/>
      <c r="G737" s="11"/>
      <c r="H737" s="11"/>
      <c r="I737" s="11"/>
    </row>
    <row r="738">
      <c r="B738" s="11"/>
      <c r="C738" s="11"/>
      <c r="D738" s="11"/>
      <c r="E738" s="11"/>
      <c r="F738" s="11"/>
      <c r="G738" s="11"/>
      <c r="H738" s="11"/>
      <c r="I738" s="11"/>
    </row>
    <row r="739">
      <c r="B739" s="11"/>
      <c r="C739" s="11"/>
      <c r="D739" s="11"/>
      <c r="E739" s="11"/>
      <c r="F739" s="11"/>
      <c r="G739" s="11"/>
      <c r="H739" s="11"/>
      <c r="I739" s="11"/>
    </row>
    <row r="740">
      <c r="B740" s="11"/>
      <c r="C740" s="11"/>
      <c r="D740" s="11"/>
      <c r="E740" s="11"/>
      <c r="F740" s="11"/>
      <c r="G740" s="11"/>
      <c r="H740" s="11"/>
      <c r="I740" s="11"/>
    </row>
    <row r="741">
      <c r="B741" s="11"/>
      <c r="C741" s="11"/>
      <c r="D741" s="11"/>
      <c r="E741" s="11"/>
      <c r="F741" s="11"/>
      <c r="G741" s="11"/>
      <c r="H741" s="11"/>
      <c r="I741" s="11"/>
    </row>
    <row r="742">
      <c r="B742" s="11"/>
      <c r="C742" s="11"/>
      <c r="D742" s="11"/>
      <c r="E742" s="11"/>
      <c r="F742" s="11"/>
      <c r="G742" s="11"/>
      <c r="H742" s="11"/>
      <c r="I742" s="11"/>
    </row>
    <row r="743">
      <c r="B743" s="11"/>
      <c r="C743" s="11"/>
      <c r="D743" s="11"/>
      <c r="E743" s="11"/>
      <c r="F743" s="11"/>
      <c r="G743" s="11"/>
      <c r="H743" s="11"/>
      <c r="I743" s="11"/>
    </row>
    <row r="744">
      <c r="B744" s="11"/>
      <c r="C744" s="11"/>
      <c r="D744" s="11"/>
      <c r="E744" s="11"/>
      <c r="F744" s="11"/>
      <c r="G744" s="11"/>
      <c r="H744" s="11"/>
      <c r="I744" s="11"/>
    </row>
    <row r="745">
      <c r="B745" s="11"/>
      <c r="C745" s="11"/>
      <c r="D745" s="11"/>
      <c r="E745" s="11"/>
      <c r="F745" s="11"/>
      <c r="G745" s="11"/>
      <c r="H745" s="11"/>
      <c r="I745" s="11"/>
    </row>
    <row r="746">
      <c r="B746" s="11"/>
      <c r="C746" s="11"/>
      <c r="D746" s="11"/>
      <c r="E746" s="11"/>
      <c r="F746" s="11"/>
      <c r="G746" s="11"/>
      <c r="H746" s="11"/>
      <c r="I746" s="11"/>
    </row>
    <row r="747">
      <c r="B747" s="11"/>
      <c r="C747" s="11"/>
      <c r="D747" s="11"/>
      <c r="E747" s="11"/>
      <c r="F747" s="11"/>
      <c r="G747" s="11"/>
      <c r="H747" s="11"/>
      <c r="I747" s="11"/>
    </row>
    <row r="748">
      <c r="B748" s="11"/>
      <c r="C748" s="11"/>
      <c r="D748" s="11"/>
      <c r="E748" s="11"/>
      <c r="F748" s="11"/>
      <c r="G748" s="11"/>
      <c r="H748" s="11"/>
      <c r="I748" s="11"/>
    </row>
    <row r="749">
      <c r="B749" s="11"/>
      <c r="C749" s="11"/>
      <c r="D749" s="11"/>
      <c r="E749" s="11"/>
      <c r="F749" s="11"/>
      <c r="G749" s="11"/>
      <c r="H749" s="11"/>
      <c r="I749" s="11"/>
    </row>
    <row r="750">
      <c r="B750" s="11"/>
      <c r="C750" s="11"/>
      <c r="D750" s="11"/>
      <c r="E750" s="11"/>
      <c r="F750" s="11"/>
      <c r="G750" s="11"/>
      <c r="H750" s="11"/>
      <c r="I750" s="11"/>
    </row>
    <row r="751">
      <c r="B751" s="11"/>
      <c r="C751" s="11"/>
      <c r="D751" s="11"/>
      <c r="E751" s="11"/>
      <c r="F751" s="11"/>
      <c r="G751" s="11"/>
      <c r="H751" s="11"/>
      <c r="I751" s="11"/>
    </row>
    <row r="752">
      <c r="B752" s="11"/>
      <c r="C752" s="11"/>
      <c r="D752" s="11"/>
      <c r="E752" s="11"/>
      <c r="F752" s="11"/>
      <c r="G752" s="11"/>
      <c r="H752" s="11"/>
      <c r="I752" s="11"/>
    </row>
    <row r="753">
      <c r="B753" s="11"/>
      <c r="C753" s="11"/>
      <c r="D753" s="11"/>
      <c r="E753" s="11"/>
      <c r="F753" s="11"/>
      <c r="G753" s="11"/>
      <c r="H753" s="11"/>
      <c r="I753" s="11"/>
    </row>
    <row r="754">
      <c r="B754" s="11"/>
      <c r="C754" s="11"/>
      <c r="D754" s="11"/>
      <c r="E754" s="11"/>
      <c r="F754" s="11"/>
      <c r="G754" s="11"/>
      <c r="H754" s="11"/>
      <c r="I754" s="11"/>
    </row>
    <row r="755">
      <c r="B755" s="11"/>
      <c r="C755" s="11"/>
      <c r="D755" s="11"/>
      <c r="E755" s="11"/>
      <c r="F755" s="11"/>
      <c r="G755" s="11"/>
      <c r="H755" s="11"/>
      <c r="I755" s="11"/>
    </row>
    <row r="756">
      <c r="B756" s="11"/>
      <c r="C756" s="11"/>
      <c r="D756" s="11"/>
      <c r="E756" s="11"/>
      <c r="F756" s="11"/>
      <c r="G756" s="11"/>
      <c r="H756" s="11"/>
      <c r="I756" s="11"/>
    </row>
    <row r="757">
      <c r="B757" s="11"/>
      <c r="C757" s="11"/>
      <c r="D757" s="11"/>
      <c r="E757" s="11"/>
      <c r="F757" s="11"/>
      <c r="G757" s="11"/>
      <c r="H757" s="11"/>
      <c r="I757" s="11"/>
    </row>
    <row r="758">
      <c r="B758" s="11"/>
      <c r="C758" s="11"/>
      <c r="D758" s="11"/>
      <c r="E758" s="11"/>
      <c r="F758" s="11"/>
      <c r="G758" s="11"/>
      <c r="H758" s="11"/>
      <c r="I758" s="11"/>
    </row>
    <row r="759">
      <c r="B759" s="11"/>
      <c r="C759" s="11"/>
      <c r="D759" s="11"/>
      <c r="E759" s="11"/>
      <c r="F759" s="11"/>
      <c r="G759" s="11"/>
      <c r="H759" s="11"/>
      <c r="I759" s="11"/>
    </row>
    <row r="760">
      <c r="B760" s="11"/>
      <c r="C760" s="11"/>
      <c r="D760" s="11"/>
      <c r="E760" s="11"/>
      <c r="F760" s="11"/>
      <c r="G760" s="11"/>
      <c r="H760" s="11"/>
      <c r="I760" s="11"/>
    </row>
    <row r="761">
      <c r="B761" s="11"/>
      <c r="C761" s="11"/>
      <c r="D761" s="11"/>
      <c r="E761" s="11"/>
      <c r="F761" s="11"/>
      <c r="G761" s="11"/>
      <c r="H761" s="11"/>
      <c r="I761" s="11"/>
    </row>
    <row r="762">
      <c r="B762" s="11"/>
      <c r="C762" s="11"/>
      <c r="D762" s="11"/>
      <c r="E762" s="11"/>
      <c r="F762" s="11"/>
      <c r="G762" s="11"/>
      <c r="H762" s="11"/>
      <c r="I762" s="11"/>
    </row>
    <row r="763">
      <c r="B763" s="11"/>
      <c r="C763" s="11"/>
      <c r="D763" s="11"/>
      <c r="E763" s="11"/>
      <c r="F763" s="11"/>
      <c r="G763" s="11"/>
      <c r="H763" s="11"/>
      <c r="I763" s="11"/>
    </row>
    <row r="764">
      <c r="B764" s="11"/>
      <c r="C764" s="11"/>
      <c r="D764" s="11"/>
      <c r="E764" s="11"/>
      <c r="F764" s="11"/>
      <c r="G764" s="11"/>
      <c r="H764" s="11"/>
      <c r="I764" s="11"/>
    </row>
    <row r="765">
      <c r="B765" s="11"/>
      <c r="C765" s="11"/>
      <c r="D765" s="11"/>
      <c r="E765" s="11"/>
      <c r="F765" s="11"/>
      <c r="G765" s="11"/>
      <c r="H765" s="11"/>
      <c r="I765" s="11"/>
    </row>
    <row r="766">
      <c r="B766" s="11"/>
      <c r="C766" s="11"/>
      <c r="D766" s="11"/>
      <c r="E766" s="11"/>
      <c r="F766" s="11"/>
      <c r="G766" s="11"/>
      <c r="H766" s="11"/>
      <c r="I766" s="11"/>
    </row>
    <row r="767">
      <c r="B767" s="11"/>
      <c r="C767" s="11"/>
      <c r="D767" s="11"/>
      <c r="E767" s="11"/>
      <c r="F767" s="11"/>
      <c r="G767" s="11"/>
      <c r="H767" s="11"/>
      <c r="I767" s="11"/>
    </row>
    <row r="768">
      <c r="B768" s="11"/>
      <c r="C768" s="11"/>
      <c r="D768" s="11"/>
      <c r="E768" s="11"/>
      <c r="F768" s="11"/>
      <c r="G768" s="11"/>
      <c r="H768" s="11"/>
      <c r="I768" s="11"/>
    </row>
    <row r="769">
      <c r="B769" s="11"/>
      <c r="C769" s="11"/>
      <c r="D769" s="11"/>
      <c r="E769" s="11"/>
      <c r="F769" s="11"/>
      <c r="G769" s="11"/>
      <c r="H769" s="11"/>
      <c r="I769" s="11"/>
    </row>
    <row r="770">
      <c r="B770" s="11"/>
      <c r="C770" s="11"/>
      <c r="D770" s="11"/>
      <c r="E770" s="11"/>
      <c r="F770" s="11"/>
      <c r="G770" s="11"/>
      <c r="H770" s="11"/>
      <c r="I770" s="11"/>
    </row>
    <row r="771">
      <c r="B771" s="11"/>
      <c r="C771" s="11"/>
      <c r="D771" s="11"/>
      <c r="E771" s="11"/>
      <c r="F771" s="11"/>
      <c r="G771" s="11"/>
      <c r="H771" s="11"/>
      <c r="I771" s="11"/>
    </row>
    <row r="772">
      <c r="B772" s="11"/>
      <c r="C772" s="11"/>
      <c r="D772" s="11"/>
      <c r="E772" s="11"/>
      <c r="F772" s="11"/>
      <c r="G772" s="11"/>
      <c r="H772" s="11"/>
      <c r="I772" s="11"/>
    </row>
    <row r="773">
      <c r="B773" s="11"/>
      <c r="C773" s="11"/>
      <c r="D773" s="11"/>
      <c r="E773" s="11"/>
      <c r="F773" s="11"/>
      <c r="G773" s="11"/>
      <c r="H773" s="11"/>
      <c r="I773" s="11"/>
    </row>
    <row r="774">
      <c r="B774" s="11"/>
      <c r="C774" s="11"/>
      <c r="D774" s="11"/>
      <c r="E774" s="11"/>
      <c r="F774" s="11"/>
      <c r="G774" s="11"/>
      <c r="H774" s="11"/>
      <c r="I774" s="11"/>
    </row>
    <row r="775">
      <c r="B775" s="11"/>
      <c r="C775" s="11"/>
      <c r="D775" s="11"/>
      <c r="E775" s="11"/>
      <c r="F775" s="11"/>
      <c r="G775" s="11"/>
      <c r="H775" s="11"/>
      <c r="I775" s="11"/>
    </row>
    <row r="776">
      <c r="B776" s="11"/>
      <c r="C776" s="11"/>
      <c r="D776" s="11"/>
      <c r="E776" s="11"/>
      <c r="F776" s="11"/>
      <c r="G776" s="11"/>
      <c r="H776" s="11"/>
      <c r="I776" s="11"/>
    </row>
    <row r="777">
      <c r="B777" s="11"/>
      <c r="C777" s="11"/>
      <c r="D777" s="11"/>
      <c r="E777" s="11"/>
      <c r="F777" s="11"/>
      <c r="G777" s="11"/>
      <c r="H777" s="11"/>
      <c r="I777" s="11"/>
    </row>
    <row r="778">
      <c r="B778" s="11"/>
      <c r="C778" s="11"/>
      <c r="D778" s="11"/>
      <c r="E778" s="11"/>
      <c r="F778" s="11"/>
      <c r="G778" s="11"/>
      <c r="H778" s="11"/>
      <c r="I778" s="11"/>
    </row>
    <row r="779">
      <c r="B779" s="11"/>
      <c r="C779" s="11"/>
      <c r="D779" s="11"/>
      <c r="E779" s="11"/>
      <c r="F779" s="11"/>
      <c r="G779" s="11"/>
      <c r="H779" s="11"/>
      <c r="I779" s="11"/>
    </row>
    <row r="780">
      <c r="B780" s="11"/>
      <c r="C780" s="11"/>
      <c r="D780" s="11"/>
      <c r="E780" s="11"/>
      <c r="F780" s="11"/>
      <c r="G780" s="11"/>
      <c r="H780" s="11"/>
      <c r="I780" s="11"/>
    </row>
    <row r="781">
      <c r="B781" s="11"/>
      <c r="C781" s="11"/>
      <c r="D781" s="11"/>
      <c r="E781" s="11"/>
      <c r="F781" s="11"/>
      <c r="G781" s="11"/>
      <c r="H781" s="11"/>
      <c r="I781" s="11"/>
    </row>
    <row r="782">
      <c r="B782" s="11"/>
      <c r="C782" s="11"/>
      <c r="D782" s="11"/>
      <c r="E782" s="11"/>
      <c r="F782" s="11"/>
      <c r="G782" s="11"/>
      <c r="H782" s="11"/>
      <c r="I782" s="11"/>
    </row>
    <row r="783">
      <c r="B783" s="11"/>
      <c r="C783" s="11"/>
      <c r="D783" s="11"/>
      <c r="E783" s="11"/>
      <c r="F783" s="11"/>
      <c r="G783" s="11"/>
      <c r="H783" s="11"/>
      <c r="I783" s="11"/>
    </row>
    <row r="784">
      <c r="B784" s="11"/>
      <c r="C784" s="11"/>
      <c r="D784" s="11"/>
      <c r="E784" s="11"/>
      <c r="F784" s="11"/>
      <c r="G784" s="11"/>
      <c r="H784" s="11"/>
      <c r="I784" s="11"/>
    </row>
    <row r="785">
      <c r="B785" s="11"/>
      <c r="C785" s="11"/>
      <c r="D785" s="11"/>
      <c r="E785" s="11"/>
      <c r="F785" s="11"/>
      <c r="G785" s="11"/>
      <c r="H785" s="11"/>
      <c r="I785" s="11"/>
    </row>
    <row r="786">
      <c r="B786" s="11"/>
      <c r="C786" s="11"/>
      <c r="D786" s="11"/>
      <c r="E786" s="11"/>
      <c r="F786" s="11"/>
      <c r="G786" s="11"/>
      <c r="H786" s="11"/>
      <c r="I786" s="11"/>
    </row>
    <row r="787">
      <c r="B787" s="11"/>
      <c r="C787" s="11"/>
      <c r="D787" s="11"/>
      <c r="E787" s="11"/>
      <c r="F787" s="11"/>
      <c r="G787" s="11"/>
      <c r="H787" s="11"/>
      <c r="I787" s="11"/>
    </row>
    <row r="788">
      <c r="B788" s="11"/>
      <c r="C788" s="11"/>
      <c r="D788" s="11"/>
      <c r="E788" s="11"/>
      <c r="F788" s="11"/>
      <c r="G788" s="11"/>
      <c r="H788" s="11"/>
      <c r="I788" s="11"/>
    </row>
    <row r="789">
      <c r="B789" s="11"/>
      <c r="C789" s="11"/>
      <c r="D789" s="11"/>
      <c r="E789" s="11"/>
      <c r="F789" s="11"/>
      <c r="G789" s="11"/>
      <c r="H789" s="11"/>
      <c r="I789" s="11"/>
    </row>
    <row r="790">
      <c r="B790" s="11"/>
      <c r="C790" s="11"/>
      <c r="D790" s="11"/>
      <c r="E790" s="11"/>
      <c r="F790" s="11"/>
      <c r="G790" s="11"/>
      <c r="H790" s="11"/>
      <c r="I790" s="11"/>
    </row>
    <row r="791">
      <c r="B791" s="11"/>
      <c r="C791" s="11"/>
      <c r="D791" s="11"/>
      <c r="E791" s="11"/>
      <c r="F791" s="11"/>
      <c r="G791" s="11"/>
      <c r="H791" s="11"/>
      <c r="I791" s="11"/>
    </row>
    <row r="792">
      <c r="B792" s="11"/>
      <c r="C792" s="11"/>
      <c r="D792" s="11"/>
      <c r="E792" s="11"/>
      <c r="F792" s="11"/>
      <c r="G792" s="11"/>
      <c r="H792" s="11"/>
      <c r="I792" s="11"/>
    </row>
    <row r="793">
      <c r="B793" s="11"/>
      <c r="C793" s="11"/>
      <c r="D793" s="11"/>
      <c r="E793" s="11"/>
      <c r="F793" s="11"/>
      <c r="G793" s="11"/>
      <c r="H793" s="11"/>
      <c r="I793" s="11"/>
    </row>
    <row r="794">
      <c r="B794" s="11"/>
      <c r="C794" s="11"/>
      <c r="D794" s="11"/>
      <c r="E794" s="11"/>
      <c r="F794" s="11"/>
      <c r="G794" s="11"/>
      <c r="H794" s="11"/>
      <c r="I794" s="11"/>
    </row>
    <row r="795">
      <c r="B795" s="11"/>
      <c r="C795" s="11"/>
      <c r="D795" s="11"/>
      <c r="E795" s="11"/>
      <c r="F795" s="11"/>
      <c r="G795" s="11"/>
      <c r="H795" s="11"/>
      <c r="I795" s="11"/>
    </row>
    <row r="796">
      <c r="B796" s="11"/>
      <c r="C796" s="11"/>
      <c r="D796" s="11"/>
      <c r="E796" s="11"/>
      <c r="F796" s="11"/>
      <c r="G796" s="11"/>
      <c r="H796" s="11"/>
      <c r="I796" s="11"/>
    </row>
    <row r="797">
      <c r="B797" s="11"/>
      <c r="C797" s="11"/>
      <c r="D797" s="11"/>
      <c r="E797" s="11"/>
      <c r="F797" s="11"/>
      <c r="G797" s="11"/>
      <c r="H797" s="11"/>
      <c r="I797" s="11"/>
    </row>
    <row r="798">
      <c r="B798" s="11"/>
      <c r="C798" s="11"/>
      <c r="D798" s="11"/>
      <c r="E798" s="11"/>
      <c r="F798" s="11"/>
      <c r="G798" s="11"/>
      <c r="H798" s="11"/>
      <c r="I798" s="11"/>
    </row>
    <row r="799">
      <c r="B799" s="11"/>
      <c r="C799" s="11"/>
      <c r="D799" s="11"/>
      <c r="E799" s="11"/>
      <c r="F799" s="11"/>
      <c r="G799" s="11"/>
      <c r="H799" s="11"/>
      <c r="I799" s="11"/>
    </row>
    <row r="800">
      <c r="B800" s="11"/>
      <c r="C800" s="11"/>
      <c r="D800" s="11"/>
      <c r="E800" s="11"/>
      <c r="F800" s="11"/>
      <c r="G800" s="11"/>
      <c r="H800" s="11"/>
      <c r="I800" s="11"/>
    </row>
    <row r="801">
      <c r="B801" s="11"/>
      <c r="C801" s="11"/>
      <c r="D801" s="11"/>
      <c r="E801" s="11"/>
      <c r="F801" s="11"/>
      <c r="G801" s="11"/>
      <c r="H801" s="11"/>
      <c r="I801" s="11"/>
    </row>
    <row r="802">
      <c r="B802" s="11"/>
      <c r="C802" s="11"/>
      <c r="D802" s="11"/>
      <c r="E802" s="11"/>
      <c r="F802" s="11"/>
      <c r="G802" s="11"/>
      <c r="H802" s="11"/>
      <c r="I802" s="11"/>
    </row>
    <row r="803">
      <c r="B803" s="11"/>
      <c r="C803" s="11"/>
      <c r="D803" s="11"/>
      <c r="E803" s="11"/>
      <c r="F803" s="11"/>
      <c r="G803" s="11"/>
      <c r="H803" s="11"/>
      <c r="I803" s="11"/>
    </row>
    <row r="804">
      <c r="B804" s="11"/>
      <c r="C804" s="11"/>
      <c r="D804" s="11"/>
      <c r="E804" s="11"/>
      <c r="F804" s="11"/>
      <c r="G804" s="11"/>
      <c r="H804" s="11"/>
      <c r="I804" s="11"/>
    </row>
    <row r="805">
      <c r="B805" s="11"/>
      <c r="C805" s="11"/>
      <c r="D805" s="11"/>
      <c r="E805" s="11"/>
      <c r="F805" s="11"/>
      <c r="G805" s="11"/>
      <c r="H805" s="11"/>
      <c r="I805" s="11"/>
    </row>
    <row r="806">
      <c r="B806" s="11"/>
      <c r="C806" s="11"/>
      <c r="D806" s="11"/>
      <c r="E806" s="11"/>
      <c r="F806" s="11"/>
      <c r="G806" s="11"/>
      <c r="H806" s="11"/>
      <c r="I806" s="11"/>
    </row>
    <row r="807">
      <c r="B807" s="11"/>
      <c r="C807" s="11"/>
      <c r="D807" s="11"/>
      <c r="E807" s="11"/>
      <c r="F807" s="11"/>
      <c r="G807" s="11"/>
      <c r="H807" s="11"/>
      <c r="I807" s="11"/>
    </row>
    <row r="808">
      <c r="B808" s="11"/>
      <c r="C808" s="11"/>
      <c r="D808" s="11"/>
      <c r="E808" s="11"/>
      <c r="F808" s="11"/>
      <c r="G808" s="11"/>
      <c r="H808" s="11"/>
      <c r="I808" s="11"/>
    </row>
    <row r="809">
      <c r="B809" s="11"/>
      <c r="C809" s="11"/>
      <c r="D809" s="11"/>
      <c r="E809" s="11"/>
      <c r="F809" s="11"/>
      <c r="G809" s="11"/>
      <c r="H809" s="11"/>
      <c r="I809" s="11"/>
    </row>
    <row r="810">
      <c r="B810" s="11"/>
      <c r="C810" s="11"/>
      <c r="D810" s="11"/>
      <c r="E810" s="11"/>
      <c r="F810" s="11"/>
      <c r="G810" s="11"/>
      <c r="H810" s="11"/>
      <c r="I810" s="11"/>
    </row>
    <row r="811">
      <c r="B811" s="11"/>
      <c r="C811" s="11"/>
      <c r="D811" s="11"/>
      <c r="E811" s="11"/>
      <c r="F811" s="11"/>
      <c r="G811" s="11"/>
      <c r="H811" s="11"/>
      <c r="I811" s="11"/>
    </row>
    <row r="812">
      <c r="B812" s="11"/>
      <c r="C812" s="11"/>
      <c r="D812" s="11"/>
      <c r="E812" s="11"/>
      <c r="F812" s="11"/>
      <c r="G812" s="11"/>
      <c r="H812" s="11"/>
      <c r="I812" s="11"/>
    </row>
    <row r="813">
      <c r="B813" s="11"/>
      <c r="C813" s="11"/>
      <c r="D813" s="11"/>
      <c r="E813" s="11"/>
      <c r="F813" s="11"/>
      <c r="G813" s="11"/>
      <c r="H813" s="11"/>
      <c r="I813" s="11"/>
    </row>
    <row r="814">
      <c r="B814" s="11"/>
      <c r="C814" s="11"/>
      <c r="D814" s="11"/>
      <c r="E814" s="11"/>
      <c r="F814" s="11"/>
      <c r="G814" s="11"/>
      <c r="H814" s="11"/>
      <c r="I814" s="11"/>
    </row>
    <row r="815">
      <c r="B815" s="11"/>
      <c r="C815" s="11"/>
      <c r="D815" s="11"/>
      <c r="E815" s="11"/>
      <c r="F815" s="11"/>
      <c r="G815" s="11"/>
      <c r="H815" s="11"/>
      <c r="I815" s="11"/>
    </row>
    <row r="816">
      <c r="B816" s="11"/>
      <c r="C816" s="11"/>
      <c r="D816" s="11"/>
      <c r="E816" s="11"/>
      <c r="F816" s="11"/>
      <c r="G816" s="11"/>
      <c r="H816" s="11"/>
      <c r="I816" s="11"/>
    </row>
    <row r="817">
      <c r="B817" s="11"/>
      <c r="C817" s="11"/>
      <c r="D817" s="11"/>
      <c r="E817" s="11"/>
      <c r="F817" s="11"/>
      <c r="G817" s="11"/>
      <c r="H817" s="11"/>
      <c r="I817" s="11"/>
    </row>
    <row r="818">
      <c r="B818" s="11"/>
      <c r="C818" s="11"/>
      <c r="D818" s="11"/>
      <c r="E818" s="11"/>
      <c r="F818" s="11"/>
      <c r="G818" s="11"/>
      <c r="H818" s="11"/>
      <c r="I818" s="11"/>
    </row>
    <row r="819">
      <c r="B819" s="11"/>
      <c r="C819" s="11"/>
      <c r="D819" s="11"/>
      <c r="E819" s="11"/>
      <c r="F819" s="11"/>
      <c r="G819" s="11"/>
      <c r="H819" s="11"/>
      <c r="I819" s="11"/>
    </row>
    <row r="820">
      <c r="B820" s="11"/>
      <c r="C820" s="11"/>
      <c r="D820" s="11"/>
      <c r="E820" s="11"/>
      <c r="F820" s="11"/>
      <c r="G820" s="11"/>
      <c r="H820" s="11"/>
      <c r="I820" s="11"/>
    </row>
    <row r="821">
      <c r="B821" s="11"/>
      <c r="C821" s="11"/>
      <c r="D821" s="11"/>
      <c r="E821" s="11"/>
      <c r="F821" s="11"/>
      <c r="G821" s="11"/>
      <c r="H821" s="11"/>
      <c r="I821" s="11"/>
    </row>
    <row r="822">
      <c r="B822" s="11"/>
      <c r="C822" s="11"/>
      <c r="D822" s="11"/>
      <c r="E822" s="11"/>
      <c r="F822" s="11"/>
      <c r="G822" s="11"/>
      <c r="H822" s="11"/>
      <c r="I822" s="11"/>
    </row>
    <row r="823">
      <c r="B823" s="11"/>
      <c r="C823" s="11"/>
      <c r="D823" s="11"/>
      <c r="E823" s="11"/>
      <c r="F823" s="11"/>
      <c r="G823" s="11"/>
      <c r="H823" s="11"/>
      <c r="I823" s="11"/>
    </row>
    <row r="824">
      <c r="B824" s="11"/>
      <c r="C824" s="11"/>
      <c r="D824" s="11"/>
      <c r="E824" s="11"/>
      <c r="F824" s="11"/>
      <c r="G824" s="11"/>
      <c r="H824" s="11"/>
      <c r="I824" s="11"/>
    </row>
    <row r="825">
      <c r="B825" s="11"/>
      <c r="C825" s="11"/>
      <c r="D825" s="11"/>
      <c r="E825" s="11"/>
      <c r="F825" s="11"/>
      <c r="G825" s="11"/>
      <c r="H825" s="11"/>
      <c r="I825" s="11"/>
    </row>
    <row r="826">
      <c r="B826" s="11"/>
      <c r="C826" s="11"/>
      <c r="D826" s="11"/>
      <c r="E826" s="11"/>
      <c r="F826" s="11"/>
      <c r="G826" s="11"/>
      <c r="H826" s="11"/>
      <c r="I826" s="11"/>
    </row>
    <row r="827">
      <c r="B827" s="11"/>
      <c r="C827" s="11"/>
      <c r="D827" s="11"/>
      <c r="E827" s="11"/>
      <c r="F827" s="11"/>
      <c r="G827" s="11"/>
      <c r="H827" s="11"/>
      <c r="I827" s="11"/>
    </row>
    <row r="828">
      <c r="B828" s="11"/>
      <c r="C828" s="11"/>
      <c r="D828" s="11"/>
      <c r="E828" s="11"/>
      <c r="F828" s="11"/>
      <c r="G828" s="11"/>
      <c r="H828" s="11"/>
      <c r="I828" s="11"/>
    </row>
    <row r="829">
      <c r="B829" s="11"/>
      <c r="C829" s="11"/>
      <c r="D829" s="11"/>
      <c r="E829" s="11"/>
      <c r="F829" s="11"/>
      <c r="G829" s="11"/>
      <c r="H829" s="11"/>
      <c r="I829" s="11"/>
    </row>
    <row r="830">
      <c r="B830" s="11"/>
      <c r="C830" s="11"/>
      <c r="D830" s="11"/>
      <c r="E830" s="11"/>
      <c r="F830" s="11"/>
      <c r="G830" s="11"/>
      <c r="H830" s="11"/>
      <c r="I830" s="11"/>
    </row>
    <row r="831">
      <c r="B831" s="11"/>
      <c r="C831" s="11"/>
      <c r="D831" s="11"/>
      <c r="E831" s="11"/>
      <c r="F831" s="11"/>
      <c r="G831" s="11"/>
      <c r="H831" s="11"/>
      <c r="I831" s="11"/>
    </row>
    <row r="832">
      <c r="B832" s="11"/>
      <c r="C832" s="11"/>
      <c r="D832" s="11"/>
      <c r="E832" s="11"/>
      <c r="F832" s="11"/>
      <c r="G832" s="11"/>
      <c r="H832" s="11"/>
      <c r="I832" s="11"/>
    </row>
    <row r="833">
      <c r="B833" s="11"/>
      <c r="C833" s="11"/>
      <c r="D833" s="11"/>
      <c r="E833" s="11"/>
      <c r="F833" s="11"/>
      <c r="G833" s="11"/>
      <c r="H833" s="11"/>
      <c r="I833" s="11"/>
    </row>
    <row r="834">
      <c r="B834" s="11"/>
      <c r="C834" s="11"/>
      <c r="D834" s="11"/>
      <c r="E834" s="11"/>
      <c r="F834" s="11"/>
      <c r="G834" s="11"/>
      <c r="H834" s="11"/>
      <c r="I834" s="11"/>
    </row>
    <row r="835">
      <c r="B835" s="11"/>
      <c r="C835" s="11"/>
      <c r="D835" s="11"/>
      <c r="E835" s="11"/>
      <c r="F835" s="11"/>
      <c r="G835" s="11"/>
      <c r="H835" s="11"/>
      <c r="I835" s="11"/>
    </row>
    <row r="836">
      <c r="B836" s="11"/>
      <c r="C836" s="11"/>
      <c r="D836" s="11"/>
      <c r="E836" s="11"/>
      <c r="F836" s="11"/>
      <c r="G836" s="11"/>
      <c r="H836" s="11"/>
      <c r="I836" s="11"/>
    </row>
    <row r="837">
      <c r="B837" s="11"/>
      <c r="C837" s="11"/>
      <c r="D837" s="11"/>
      <c r="E837" s="11"/>
      <c r="F837" s="11"/>
      <c r="G837" s="11"/>
      <c r="H837" s="11"/>
      <c r="I837" s="11"/>
    </row>
    <row r="838">
      <c r="B838" s="11"/>
      <c r="C838" s="11"/>
      <c r="D838" s="11"/>
      <c r="E838" s="11"/>
      <c r="F838" s="11"/>
      <c r="G838" s="11"/>
      <c r="H838" s="11"/>
      <c r="I838" s="11"/>
    </row>
    <row r="839">
      <c r="B839" s="11"/>
      <c r="C839" s="11"/>
      <c r="D839" s="11"/>
      <c r="E839" s="11"/>
      <c r="F839" s="11"/>
      <c r="G839" s="11"/>
      <c r="H839" s="11"/>
      <c r="I839" s="11"/>
    </row>
    <row r="840">
      <c r="B840" s="11"/>
      <c r="C840" s="11"/>
      <c r="D840" s="11"/>
      <c r="E840" s="11"/>
      <c r="F840" s="11"/>
      <c r="G840" s="11"/>
      <c r="H840" s="11"/>
      <c r="I840" s="11"/>
    </row>
    <row r="841">
      <c r="B841" s="11"/>
      <c r="C841" s="11"/>
      <c r="D841" s="11"/>
      <c r="E841" s="11"/>
      <c r="F841" s="11"/>
      <c r="G841" s="11"/>
      <c r="H841" s="11"/>
      <c r="I841" s="11"/>
    </row>
    <row r="842">
      <c r="B842" s="11"/>
      <c r="C842" s="11"/>
      <c r="D842" s="11"/>
      <c r="E842" s="11"/>
      <c r="F842" s="11"/>
      <c r="G842" s="11"/>
      <c r="H842" s="11"/>
      <c r="I842" s="11"/>
    </row>
    <row r="843">
      <c r="B843" s="11"/>
      <c r="C843" s="11"/>
      <c r="D843" s="11"/>
      <c r="E843" s="11"/>
      <c r="F843" s="11"/>
      <c r="G843" s="11"/>
      <c r="H843" s="11"/>
      <c r="I843" s="11"/>
    </row>
    <row r="844">
      <c r="B844" s="11"/>
      <c r="C844" s="11"/>
      <c r="D844" s="11"/>
      <c r="E844" s="11"/>
      <c r="F844" s="11"/>
      <c r="G844" s="11"/>
      <c r="H844" s="11"/>
      <c r="I844" s="11"/>
    </row>
    <row r="845">
      <c r="B845" s="11"/>
      <c r="C845" s="11"/>
      <c r="D845" s="11"/>
      <c r="E845" s="11"/>
      <c r="F845" s="11"/>
      <c r="G845" s="11"/>
      <c r="H845" s="11"/>
      <c r="I845" s="11"/>
    </row>
    <row r="846">
      <c r="B846" s="11"/>
      <c r="C846" s="11"/>
      <c r="D846" s="11"/>
      <c r="E846" s="11"/>
      <c r="F846" s="11"/>
      <c r="G846" s="11"/>
      <c r="H846" s="11"/>
      <c r="I846" s="11"/>
    </row>
    <row r="847">
      <c r="B847" s="11"/>
      <c r="C847" s="11"/>
      <c r="D847" s="11"/>
      <c r="E847" s="11"/>
      <c r="F847" s="11"/>
      <c r="G847" s="11"/>
      <c r="H847" s="11"/>
      <c r="I847" s="11"/>
    </row>
    <row r="848">
      <c r="B848" s="11"/>
      <c r="C848" s="11"/>
      <c r="D848" s="11"/>
      <c r="E848" s="11"/>
      <c r="F848" s="11"/>
      <c r="G848" s="11"/>
      <c r="H848" s="11"/>
      <c r="I848" s="11"/>
    </row>
    <row r="849">
      <c r="B849" s="11"/>
      <c r="C849" s="11"/>
      <c r="D849" s="11"/>
      <c r="E849" s="11"/>
      <c r="F849" s="11"/>
      <c r="G849" s="11"/>
      <c r="H849" s="11"/>
      <c r="I849" s="11"/>
    </row>
    <row r="850">
      <c r="B850" s="11"/>
      <c r="C850" s="11"/>
      <c r="D850" s="11"/>
      <c r="E850" s="11"/>
      <c r="F850" s="11"/>
      <c r="G850" s="11"/>
      <c r="H850" s="11"/>
      <c r="I850" s="11"/>
    </row>
    <row r="851">
      <c r="B851" s="11"/>
      <c r="C851" s="11"/>
      <c r="D851" s="11"/>
      <c r="E851" s="11"/>
      <c r="F851" s="11"/>
      <c r="G851" s="11"/>
      <c r="H851" s="11"/>
      <c r="I851" s="11"/>
    </row>
    <row r="852">
      <c r="B852" s="11"/>
      <c r="C852" s="11"/>
      <c r="D852" s="11"/>
      <c r="E852" s="11"/>
      <c r="F852" s="11"/>
      <c r="G852" s="11"/>
      <c r="H852" s="11"/>
      <c r="I852" s="11"/>
    </row>
    <row r="853">
      <c r="B853" s="11"/>
      <c r="C853" s="11"/>
      <c r="D853" s="11"/>
      <c r="E853" s="11"/>
      <c r="F853" s="11"/>
      <c r="G853" s="11"/>
      <c r="H853" s="11"/>
      <c r="I853" s="11"/>
    </row>
    <row r="854">
      <c r="B854" s="11"/>
      <c r="C854" s="11"/>
      <c r="D854" s="11"/>
      <c r="E854" s="11"/>
      <c r="F854" s="11"/>
      <c r="G854" s="11"/>
      <c r="H854" s="11"/>
      <c r="I854" s="11"/>
    </row>
    <row r="855">
      <c r="B855" s="11"/>
      <c r="C855" s="11"/>
      <c r="D855" s="11"/>
      <c r="E855" s="11"/>
      <c r="F855" s="11"/>
      <c r="G855" s="11"/>
      <c r="H855" s="11"/>
      <c r="I855" s="11"/>
    </row>
    <row r="856">
      <c r="B856" s="11"/>
      <c r="C856" s="11"/>
      <c r="D856" s="11"/>
      <c r="E856" s="11"/>
      <c r="F856" s="11"/>
      <c r="G856" s="11"/>
      <c r="H856" s="11"/>
      <c r="I856" s="11"/>
    </row>
    <row r="857">
      <c r="B857" s="11"/>
      <c r="C857" s="11"/>
      <c r="D857" s="11"/>
      <c r="E857" s="11"/>
      <c r="F857" s="11"/>
      <c r="G857" s="11"/>
      <c r="H857" s="11"/>
      <c r="I857" s="11"/>
    </row>
    <row r="858">
      <c r="B858" s="11"/>
      <c r="C858" s="11"/>
      <c r="D858" s="11"/>
      <c r="E858" s="11"/>
      <c r="F858" s="11"/>
      <c r="G858" s="11"/>
      <c r="H858" s="11"/>
      <c r="I858" s="11"/>
    </row>
    <row r="859">
      <c r="B859" s="11"/>
      <c r="C859" s="11"/>
      <c r="D859" s="11"/>
      <c r="E859" s="11"/>
      <c r="F859" s="11"/>
      <c r="G859" s="11"/>
      <c r="H859" s="11"/>
      <c r="I859" s="11"/>
    </row>
    <row r="860">
      <c r="B860" s="11"/>
      <c r="C860" s="11"/>
      <c r="D860" s="11"/>
      <c r="E860" s="11"/>
      <c r="F860" s="11"/>
      <c r="G860" s="11"/>
      <c r="H860" s="11"/>
      <c r="I860" s="11"/>
    </row>
    <row r="861">
      <c r="B861" s="11"/>
      <c r="C861" s="11"/>
      <c r="D861" s="11"/>
      <c r="E861" s="11"/>
      <c r="F861" s="11"/>
      <c r="G861" s="11"/>
      <c r="H861" s="11"/>
      <c r="I861" s="11"/>
    </row>
    <row r="862">
      <c r="B862" s="11"/>
      <c r="C862" s="11"/>
      <c r="D862" s="11"/>
      <c r="E862" s="11"/>
      <c r="F862" s="11"/>
      <c r="G862" s="11"/>
      <c r="H862" s="11"/>
      <c r="I862" s="11"/>
    </row>
    <row r="863">
      <c r="B863" s="11"/>
      <c r="C863" s="11"/>
      <c r="D863" s="11"/>
      <c r="E863" s="11"/>
      <c r="F863" s="11"/>
      <c r="G863" s="11"/>
      <c r="H863" s="11"/>
      <c r="I863" s="11"/>
    </row>
    <row r="864">
      <c r="B864" s="11"/>
      <c r="C864" s="11"/>
      <c r="D864" s="11"/>
      <c r="E864" s="11"/>
      <c r="F864" s="11"/>
      <c r="G864" s="11"/>
      <c r="H864" s="11"/>
      <c r="I864" s="11"/>
    </row>
    <row r="865">
      <c r="B865" s="11"/>
      <c r="C865" s="11"/>
      <c r="D865" s="11"/>
      <c r="E865" s="11"/>
      <c r="F865" s="11"/>
      <c r="G865" s="11"/>
      <c r="H865" s="11"/>
      <c r="I865" s="11"/>
    </row>
    <row r="866">
      <c r="B866" s="11"/>
      <c r="C866" s="11"/>
      <c r="D866" s="11"/>
      <c r="E866" s="11"/>
      <c r="F866" s="11"/>
      <c r="G866" s="11"/>
      <c r="H866" s="11"/>
      <c r="I866" s="11"/>
    </row>
    <row r="867">
      <c r="B867" s="11"/>
      <c r="C867" s="11"/>
      <c r="D867" s="11"/>
      <c r="E867" s="11"/>
      <c r="F867" s="11"/>
      <c r="G867" s="11"/>
      <c r="H867" s="11"/>
      <c r="I867" s="11"/>
    </row>
    <row r="868">
      <c r="B868" s="11"/>
      <c r="C868" s="11"/>
      <c r="D868" s="11"/>
      <c r="E868" s="11"/>
      <c r="F868" s="11"/>
      <c r="G868" s="11"/>
      <c r="H868" s="11"/>
      <c r="I868" s="11"/>
    </row>
    <row r="869">
      <c r="B869" s="11"/>
      <c r="C869" s="11"/>
      <c r="D869" s="11"/>
      <c r="E869" s="11"/>
      <c r="F869" s="11"/>
      <c r="G869" s="11"/>
      <c r="H869" s="11"/>
      <c r="I869" s="11"/>
    </row>
    <row r="870">
      <c r="B870" s="11"/>
      <c r="C870" s="11"/>
      <c r="D870" s="11"/>
      <c r="E870" s="11"/>
      <c r="F870" s="11"/>
      <c r="G870" s="11"/>
      <c r="H870" s="11"/>
      <c r="I870" s="11"/>
    </row>
    <row r="871">
      <c r="B871" s="11"/>
      <c r="C871" s="11"/>
      <c r="D871" s="11"/>
      <c r="E871" s="11"/>
      <c r="F871" s="11"/>
      <c r="G871" s="11"/>
      <c r="H871" s="11"/>
      <c r="I871" s="11"/>
    </row>
    <row r="872">
      <c r="B872" s="11"/>
      <c r="C872" s="11"/>
      <c r="D872" s="11"/>
      <c r="E872" s="11"/>
      <c r="F872" s="11"/>
      <c r="G872" s="11"/>
      <c r="H872" s="11"/>
      <c r="I872" s="11"/>
    </row>
    <row r="873">
      <c r="B873" s="11"/>
      <c r="C873" s="11"/>
      <c r="D873" s="11"/>
      <c r="E873" s="11"/>
      <c r="F873" s="11"/>
      <c r="G873" s="11"/>
      <c r="H873" s="11"/>
      <c r="I873" s="11"/>
    </row>
    <row r="874">
      <c r="B874" s="11"/>
      <c r="C874" s="11"/>
      <c r="D874" s="11"/>
      <c r="E874" s="11"/>
      <c r="F874" s="11"/>
      <c r="G874" s="11"/>
      <c r="H874" s="11"/>
      <c r="I874" s="11"/>
    </row>
    <row r="875">
      <c r="B875" s="11"/>
      <c r="C875" s="11"/>
      <c r="D875" s="11"/>
      <c r="E875" s="11"/>
      <c r="F875" s="11"/>
      <c r="G875" s="11"/>
      <c r="H875" s="11"/>
      <c r="I875" s="11"/>
    </row>
    <row r="876">
      <c r="B876" s="11"/>
      <c r="C876" s="11"/>
      <c r="D876" s="11"/>
      <c r="E876" s="11"/>
      <c r="F876" s="11"/>
      <c r="G876" s="11"/>
      <c r="H876" s="11"/>
      <c r="I876" s="11"/>
    </row>
    <row r="877">
      <c r="B877" s="11"/>
      <c r="C877" s="11"/>
      <c r="D877" s="11"/>
      <c r="E877" s="11"/>
      <c r="F877" s="11"/>
      <c r="G877" s="11"/>
      <c r="H877" s="11"/>
      <c r="I877" s="11"/>
    </row>
    <row r="878">
      <c r="B878" s="11"/>
      <c r="C878" s="11"/>
      <c r="D878" s="11"/>
      <c r="E878" s="11"/>
      <c r="F878" s="11"/>
      <c r="G878" s="11"/>
      <c r="H878" s="11"/>
      <c r="I878" s="11"/>
    </row>
    <row r="879">
      <c r="B879" s="11"/>
      <c r="C879" s="11"/>
      <c r="D879" s="11"/>
      <c r="E879" s="11"/>
      <c r="F879" s="11"/>
      <c r="G879" s="11"/>
      <c r="H879" s="11"/>
      <c r="I879" s="11"/>
    </row>
    <row r="880">
      <c r="B880" s="11"/>
      <c r="C880" s="11"/>
      <c r="D880" s="11"/>
      <c r="E880" s="11"/>
      <c r="F880" s="11"/>
      <c r="G880" s="11"/>
      <c r="H880" s="11"/>
      <c r="I880" s="11"/>
    </row>
    <row r="881">
      <c r="B881" s="11"/>
      <c r="C881" s="11"/>
      <c r="D881" s="11"/>
      <c r="E881" s="11"/>
      <c r="F881" s="11"/>
      <c r="G881" s="11"/>
      <c r="H881" s="11"/>
      <c r="I881" s="11"/>
    </row>
    <row r="882">
      <c r="B882" s="11"/>
      <c r="C882" s="11"/>
      <c r="D882" s="11"/>
      <c r="E882" s="11"/>
      <c r="F882" s="11"/>
      <c r="G882" s="11"/>
      <c r="H882" s="11"/>
      <c r="I882" s="11"/>
    </row>
    <row r="883">
      <c r="B883" s="11"/>
      <c r="C883" s="11"/>
      <c r="D883" s="11"/>
      <c r="E883" s="11"/>
      <c r="F883" s="11"/>
      <c r="G883" s="11"/>
      <c r="H883" s="11"/>
      <c r="I883" s="11"/>
    </row>
    <row r="884">
      <c r="B884" s="11"/>
      <c r="C884" s="11"/>
      <c r="D884" s="11"/>
      <c r="E884" s="11"/>
      <c r="F884" s="11"/>
      <c r="G884" s="11"/>
      <c r="H884" s="11"/>
      <c r="I884" s="11"/>
    </row>
    <row r="885">
      <c r="B885" s="11"/>
      <c r="C885" s="11"/>
      <c r="D885" s="11"/>
      <c r="E885" s="11"/>
      <c r="F885" s="11"/>
      <c r="G885" s="11"/>
      <c r="H885" s="11"/>
      <c r="I885" s="11"/>
    </row>
    <row r="886">
      <c r="B886" s="11"/>
      <c r="C886" s="11"/>
      <c r="D886" s="11"/>
      <c r="E886" s="11"/>
      <c r="F886" s="11"/>
      <c r="G886" s="11"/>
      <c r="H886" s="11"/>
      <c r="I886" s="11"/>
    </row>
    <row r="887">
      <c r="B887" s="11"/>
      <c r="C887" s="11"/>
      <c r="D887" s="11"/>
      <c r="E887" s="11"/>
      <c r="F887" s="11"/>
      <c r="G887" s="11"/>
      <c r="H887" s="11"/>
      <c r="I887" s="11"/>
    </row>
    <row r="888">
      <c r="B888" s="11"/>
      <c r="C888" s="11"/>
      <c r="D888" s="11"/>
      <c r="E888" s="11"/>
      <c r="F888" s="11"/>
      <c r="G888" s="11"/>
      <c r="H888" s="11"/>
      <c r="I888" s="11"/>
    </row>
    <row r="889">
      <c r="B889" s="11"/>
      <c r="C889" s="11"/>
      <c r="D889" s="11"/>
      <c r="E889" s="11"/>
      <c r="F889" s="11"/>
      <c r="G889" s="11"/>
      <c r="H889" s="11"/>
      <c r="I889" s="11"/>
    </row>
    <row r="890">
      <c r="B890" s="11"/>
      <c r="C890" s="11"/>
      <c r="D890" s="11"/>
      <c r="E890" s="11"/>
      <c r="F890" s="11"/>
      <c r="G890" s="11"/>
      <c r="H890" s="11"/>
      <c r="I890" s="11"/>
    </row>
    <row r="891">
      <c r="B891" s="11"/>
      <c r="C891" s="11"/>
      <c r="D891" s="11"/>
      <c r="E891" s="11"/>
      <c r="F891" s="11"/>
      <c r="G891" s="11"/>
      <c r="H891" s="11"/>
      <c r="I891" s="11"/>
    </row>
    <row r="892">
      <c r="B892" s="11"/>
      <c r="C892" s="11"/>
      <c r="D892" s="11"/>
      <c r="E892" s="11"/>
      <c r="F892" s="11"/>
      <c r="G892" s="11"/>
      <c r="H892" s="11"/>
      <c r="I892" s="11"/>
    </row>
    <row r="893">
      <c r="B893" s="11"/>
      <c r="C893" s="11"/>
      <c r="D893" s="11"/>
      <c r="E893" s="11"/>
      <c r="F893" s="11"/>
      <c r="G893" s="11"/>
      <c r="H893" s="11"/>
      <c r="I893" s="11"/>
    </row>
    <row r="894">
      <c r="B894" s="11"/>
      <c r="C894" s="11"/>
      <c r="D894" s="11"/>
      <c r="E894" s="11"/>
      <c r="F894" s="11"/>
      <c r="G894" s="11"/>
      <c r="H894" s="11"/>
      <c r="I894" s="11"/>
    </row>
    <row r="895">
      <c r="B895" s="11"/>
      <c r="C895" s="11"/>
      <c r="D895" s="11"/>
      <c r="E895" s="11"/>
      <c r="F895" s="11"/>
      <c r="G895" s="11"/>
      <c r="H895" s="11"/>
      <c r="I895" s="11"/>
    </row>
    <row r="896">
      <c r="B896" s="11"/>
      <c r="C896" s="11"/>
      <c r="D896" s="11"/>
      <c r="E896" s="11"/>
      <c r="F896" s="11"/>
      <c r="G896" s="11"/>
      <c r="H896" s="11"/>
      <c r="I896" s="11"/>
    </row>
    <row r="897">
      <c r="B897" s="11"/>
      <c r="C897" s="11"/>
      <c r="D897" s="11"/>
      <c r="E897" s="11"/>
      <c r="F897" s="11"/>
      <c r="G897" s="11"/>
      <c r="H897" s="11"/>
      <c r="I897" s="11"/>
    </row>
    <row r="898">
      <c r="B898" s="11"/>
      <c r="C898" s="11"/>
      <c r="D898" s="11"/>
      <c r="E898" s="11"/>
      <c r="F898" s="11"/>
      <c r="G898" s="11"/>
      <c r="H898" s="11"/>
      <c r="I898" s="11"/>
    </row>
    <row r="899">
      <c r="B899" s="11"/>
      <c r="C899" s="11"/>
      <c r="D899" s="11"/>
      <c r="E899" s="11"/>
      <c r="F899" s="11"/>
      <c r="G899" s="11"/>
      <c r="H899" s="11"/>
      <c r="I899" s="11"/>
    </row>
    <row r="900">
      <c r="B900" s="11"/>
      <c r="C900" s="11"/>
      <c r="D900" s="11"/>
      <c r="E900" s="11"/>
      <c r="F900" s="11"/>
      <c r="G900" s="11"/>
      <c r="H900" s="11"/>
      <c r="I900" s="11"/>
    </row>
    <row r="901">
      <c r="B901" s="11"/>
      <c r="C901" s="11"/>
      <c r="D901" s="11"/>
      <c r="E901" s="11"/>
      <c r="F901" s="11"/>
      <c r="G901" s="11"/>
      <c r="H901" s="11"/>
      <c r="I901" s="11"/>
    </row>
    <row r="902">
      <c r="B902" s="11"/>
      <c r="C902" s="11"/>
      <c r="D902" s="11"/>
      <c r="E902" s="11"/>
      <c r="F902" s="11"/>
      <c r="G902" s="11"/>
      <c r="H902" s="11"/>
      <c r="I902" s="11"/>
    </row>
    <row r="903">
      <c r="B903" s="11"/>
      <c r="C903" s="11"/>
      <c r="D903" s="11"/>
      <c r="E903" s="11"/>
      <c r="F903" s="11"/>
      <c r="G903" s="11"/>
      <c r="H903" s="11"/>
      <c r="I903" s="11"/>
    </row>
    <row r="904">
      <c r="B904" s="11"/>
      <c r="C904" s="11"/>
      <c r="D904" s="11"/>
      <c r="E904" s="11"/>
      <c r="F904" s="11"/>
      <c r="G904" s="11"/>
      <c r="H904" s="11"/>
      <c r="I904" s="11"/>
    </row>
    <row r="905">
      <c r="B905" s="11"/>
      <c r="C905" s="11"/>
      <c r="D905" s="11"/>
      <c r="E905" s="11"/>
      <c r="F905" s="11"/>
      <c r="G905" s="11"/>
      <c r="H905" s="11"/>
      <c r="I905" s="11"/>
    </row>
    <row r="906">
      <c r="B906" s="11"/>
      <c r="C906" s="11"/>
      <c r="D906" s="11"/>
      <c r="E906" s="11"/>
      <c r="F906" s="11"/>
      <c r="G906" s="11"/>
      <c r="H906" s="11"/>
      <c r="I906" s="11"/>
    </row>
    <row r="907">
      <c r="B907" s="11"/>
      <c r="C907" s="11"/>
      <c r="D907" s="11"/>
      <c r="E907" s="11"/>
      <c r="F907" s="11"/>
      <c r="G907" s="11"/>
      <c r="H907" s="11"/>
      <c r="I907" s="11"/>
    </row>
    <row r="908">
      <c r="B908" s="11"/>
      <c r="C908" s="11"/>
      <c r="D908" s="11"/>
      <c r="E908" s="11"/>
      <c r="F908" s="11"/>
      <c r="G908" s="11"/>
      <c r="H908" s="11"/>
      <c r="I908" s="11"/>
    </row>
    <row r="909">
      <c r="B909" s="11"/>
      <c r="C909" s="11"/>
      <c r="D909" s="11"/>
      <c r="E909" s="11"/>
      <c r="F909" s="11"/>
      <c r="G909" s="11"/>
      <c r="H909" s="11"/>
      <c r="I909" s="11"/>
    </row>
    <row r="910">
      <c r="B910" s="11"/>
      <c r="C910" s="11"/>
      <c r="D910" s="11"/>
      <c r="E910" s="11"/>
      <c r="F910" s="11"/>
      <c r="G910" s="11"/>
      <c r="H910" s="11"/>
      <c r="I910" s="11"/>
    </row>
    <row r="911">
      <c r="B911" s="11"/>
      <c r="C911" s="11"/>
      <c r="D911" s="11"/>
      <c r="E911" s="11"/>
      <c r="F911" s="11"/>
      <c r="G911" s="11"/>
      <c r="H911" s="11"/>
      <c r="I911" s="11"/>
    </row>
    <row r="912">
      <c r="B912" s="11"/>
      <c r="C912" s="11"/>
      <c r="D912" s="11"/>
      <c r="E912" s="11"/>
      <c r="F912" s="11"/>
      <c r="G912" s="11"/>
      <c r="H912" s="11"/>
      <c r="I912" s="11"/>
    </row>
    <row r="913">
      <c r="B913" s="11"/>
      <c r="C913" s="11"/>
      <c r="D913" s="11"/>
      <c r="E913" s="11"/>
      <c r="F913" s="11"/>
      <c r="G913" s="11"/>
      <c r="H913" s="11"/>
      <c r="I913" s="11"/>
    </row>
    <row r="914">
      <c r="B914" s="11"/>
      <c r="C914" s="11"/>
      <c r="D914" s="11"/>
      <c r="E914" s="11"/>
      <c r="F914" s="11"/>
      <c r="G914" s="11"/>
      <c r="H914" s="11"/>
      <c r="I914" s="11"/>
    </row>
    <row r="915">
      <c r="B915" s="11"/>
      <c r="C915" s="11"/>
      <c r="D915" s="11"/>
      <c r="E915" s="11"/>
      <c r="F915" s="11"/>
      <c r="G915" s="11"/>
      <c r="H915" s="11"/>
      <c r="I915" s="11"/>
    </row>
    <row r="916">
      <c r="B916" s="11"/>
      <c r="C916" s="11"/>
      <c r="D916" s="11"/>
      <c r="E916" s="11"/>
      <c r="F916" s="11"/>
      <c r="G916" s="11"/>
      <c r="H916" s="11"/>
      <c r="I916" s="11"/>
    </row>
    <row r="917">
      <c r="B917" s="11"/>
      <c r="C917" s="11"/>
      <c r="D917" s="11"/>
      <c r="E917" s="11"/>
      <c r="F917" s="11"/>
      <c r="G917" s="11"/>
      <c r="H917" s="11"/>
      <c r="I917" s="11"/>
    </row>
    <row r="918">
      <c r="B918" s="11"/>
      <c r="C918" s="11"/>
      <c r="D918" s="11"/>
      <c r="E918" s="11"/>
      <c r="F918" s="11"/>
      <c r="G918" s="11"/>
      <c r="H918" s="11"/>
      <c r="I918" s="11"/>
    </row>
    <row r="919">
      <c r="B919" s="11"/>
      <c r="C919" s="11"/>
      <c r="D919" s="11"/>
      <c r="E919" s="11"/>
      <c r="F919" s="11"/>
      <c r="G919" s="11"/>
      <c r="H919" s="11"/>
      <c r="I919" s="11"/>
    </row>
    <row r="920">
      <c r="B920" s="11"/>
      <c r="C920" s="11"/>
      <c r="D920" s="11"/>
      <c r="E920" s="11"/>
      <c r="F920" s="11"/>
      <c r="G920" s="11"/>
      <c r="H920" s="11"/>
      <c r="I920" s="11"/>
    </row>
    <row r="921">
      <c r="B921" s="11"/>
      <c r="C921" s="11"/>
      <c r="D921" s="11"/>
      <c r="E921" s="11"/>
      <c r="F921" s="11"/>
      <c r="G921" s="11"/>
      <c r="H921" s="11"/>
      <c r="I921" s="11"/>
    </row>
    <row r="922">
      <c r="B922" s="11"/>
      <c r="C922" s="11"/>
      <c r="D922" s="11"/>
      <c r="E922" s="11"/>
      <c r="F922" s="11"/>
      <c r="G922" s="11"/>
      <c r="H922" s="11"/>
      <c r="I922" s="11"/>
    </row>
    <row r="923">
      <c r="B923" s="11"/>
      <c r="C923" s="11"/>
      <c r="D923" s="11"/>
      <c r="E923" s="11"/>
      <c r="F923" s="11"/>
      <c r="G923" s="11"/>
      <c r="H923" s="11"/>
      <c r="I923" s="11"/>
    </row>
    <row r="924">
      <c r="B924" s="11"/>
      <c r="C924" s="11"/>
      <c r="D924" s="11"/>
      <c r="E924" s="11"/>
      <c r="F924" s="11"/>
      <c r="G924" s="11"/>
      <c r="H924" s="11"/>
      <c r="I924" s="11"/>
    </row>
    <row r="925">
      <c r="B925" s="11"/>
      <c r="C925" s="11"/>
      <c r="D925" s="11"/>
      <c r="E925" s="11"/>
      <c r="F925" s="11"/>
      <c r="G925" s="11"/>
      <c r="H925" s="11"/>
      <c r="I925" s="11"/>
    </row>
    <row r="926">
      <c r="B926" s="11"/>
      <c r="C926" s="11"/>
      <c r="D926" s="11"/>
      <c r="E926" s="11"/>
      <c r="F926" s="11"/>
      <c r="G926" s="11"/>
      <c r="H926" s="11"/>
      <c r="I926" s="11"/>
    </row>
    <row r="927">
      <c r="B927" s="11"/>
      <c r="C927" s="11"/>
      <c r="D927" s="11"/>
      <c r="E927" s="11"/>
      <c r="F927" s="11"/>
      <c r="G927" s="11"/>
      <c r="H927" s="11"/>
      <c r="I927" s="11"/>
    </row>
    <row r="928">
      <c r="B928" s="11"/>
      <c r="C928" s="11"/>
      <c r="D928" s="11"/>
      <c r="E928" s="11"/>
      <c r="F928" s="11"/>
      <c r="G928" s="11"/>
      <c r="H928" s="11"/>
      <c r="I928" s="11"/>
    </row>
    <row r="929">
      <c r="B929" s="11"/>
      <c r="C929" s="11"/>
      <c r="D929" s="11"/>
      <c r="E929" s="11"/>
      <c r="F929" s="11"/>
      <c r="G929" s="11"/>
      <c r="H929" s="11"/>
      <c r="I929" s="11"/>
    </row>
    <row r="930">
      <c r="B930" s="11"/>
      <c r="C930" s="11"/>
      <c r="D930" s="11"/>
      <c r="E930" s="11"/>
      <c r="F930" s="11"/>
      <c r="G930" s="11"/>
      <c r="H930" s="11"/>
      <c r="I930" s="11"/>
    </row>
    <row r="931">
      <c r="B931" s="11"/>
      <c r="C931" s="11"/>
      <c r="D931" s="11"/>
      <c r="E931" s="11"/>
      <c r="F931" s="11"/>
      <c r="G931" s="11"/>
      <c r="H931" s="11"/>
      <c r="I931" s="11"/>
    </row>
    <row r="932">
      <c r="B932" s="11"/>
      <c r="C932" s="11"/>
      <c r="D932" s="11"/>
      <c r="E932" s="11"/>
      <c r="F932" s="11"/>
      <c r="G932" s="11"/>
      <c r="H932" s="11"/>
      <c r="I932" s="11"/>
    </row>
    <row r="933">
      <c r="B933" s="11"/>
      <c r="C933" s="11"/>
      <c r="D933" s="11"/>
      <c r="E933" s="11"/>
      <c r="F933" s="11"/>
      <c r="G933" s="11"/>
      <c r="H933" s="11"/>
      <c r="I933" s="11"/>
    </row>
    <row r="934">
      <c r="B934" s="11"/>
      <c r="C934" s="11"/>
      <c r="D934" s="11"/>
      <c r="E934" s="11"/>
      <c r="F934" s="11"/>
      <c r="G934" s="11"/>
      <c r="H934" s="11"/>
      <c r="I934" s="11"/>
    </row>
    <row r="935">
      <c r="B935" s="11"/>
      <c r="C935" s="11"/>
      <c r="D935" s="11"/>
      <c r="E935" s="11"/>
      <c r="F935" s="11"/>
      <c r="G935" s="11"/>
      <c r="H935" s="11"/>
      <c r="I935" s="11"/>
    </row>
    <row r="936">
      <c r="B936" s="11"/>
      <c r="C936" s="11"/>
      <c r="D936" s="11"/>
      <c r="E936" s="11"/>
      <c r="F936" s="11"/>
      <c r="G936" s="11"/>
      <c r="H936" s="11"/>
      <c r="I936" s="11"/>
    </row>
    <row r="937">
      <c r="B937" s="11"/>
      <c r="C937" s="11"/>
      <c r="D937" s="11"/>
      <c r="E937" s="11"/>
      <c r="F937" s="11"/>
      <c r="G937" s="11"/>
      <c r="H937" s="11"/>
      <c r="I937" s="11"/>
    </row>
    <row r="938">
      <c r="B938" s="11"/>
      <c r="C938" s="11"/>
      <c r="D938" s="11"/>
      <c r="E938" s="11"/>
      <c r="F938" s="11"/>
      <c r="G938" s="11"/>
      <c r="H938" s="11"/>
      <c r="I938" s="11"/>
    </row>
    <row r="939">
      <c r="B939" s="11"/>
      <c r="C939" s="11"/>
      <c r="D939" s="11"/>
      <c r="E939" s="11"/>
      <c r="F939" s="11"/>
      <c r="G939" s="11"/>
      <c r="H939" s="11"/>
      <c r="I939" s="11"/>
    </row>
    <row r="940">
      <c r="B940" s="11"/>
      <c r="C940" s="11"/>
      <c r="D940" s="11"/>
      <c r="E940" s="11"/>
      <c r="F940" s="11"/>
      <c r="G940" s="11"/>
      <c r="H940" s="11"/>
      <c r="I940" s="11"/>
    </row>
    <row r="941">
      <c r="B941" s="11"/>
      <c r="C941" s="11"/>
      <c r="D941" s="11"/>
      <c r="E941" s="11"/>
      <c r="F941" s="11"/>
      <c r="G941" s="11"/>
      <c r="H941" s="11"/>
      <c r="I941" s="11"/>
    </row>
    <row r="942">
      <c r="B942" s="11"/>
      <c r="C942" s="11"/>
      <c r="D942" s="11"/>
      <c r="E942" s="11"/>
      <c r="F942" s="11"/>
      <c r="G942" s="11"/>
      <c r="H942" s="11"/>
      <c r="I942" s="11"/>
    </row>
    <row r="943">
      <c r="B943" s="11"/>
      <c r="C943" s="11"/>
      <c r="D943" s="11"/>
      <c r="E943" s="11"/>
      <c r="F943" s="11"/>
      <c r="G943" s="11"/>
      <c r="H943" s="11"/>
      <c r="I943" s="11"/>
    </row>
    <row r="944">
      <c r="B944" s="11"/>
      <c r="C944" s="11"/>
      <c r="D944" s="11"/>
      <c r="E944" s="11"/>
      <c r="F944" s="11"/>
      <c r="G944" s="11"/>
      <c r="H944" s="11"/>
      <c r="I944" s="11"/>
    </row>
    <row r="945">
      <c r="B945" s="11"/>
      <c r="C945" s="11"/>
      <c r="D945" s="11"/>
      <c r="E945" s="11"/>
      <c r="F945" s="11"/>
      <c r="G945" s="11"/>
      <c r="H945" s="11"/>
      <c r="I945" s="11"/>
    </row>
    <row r="946">
      <c r="B946" s="11"/>
      <c r="C946" s="11"/>
      <c r="D946" s="11"/>
      <c r="E946" s="11"/>
      <c r="F946" s="11"/>
      <c r="G946" s="11"/>
      <c r="H946" s="11"/>
      <c r="I946" s="11"/>
    </row>
    <row r="947">
      <c r="B947" s="11"/>
      <c r="C947" s="11"/>
      <c r="D947" s="11"/>
      <c r="E947" s="11"/>
      <c r="F947" s="11"/>
      <c r="G947" s="11"/>
      <c r="H947" s="11"/>
      <c r="I947" s="11"/>
    </row>
    <row r="948">
      <c r="B948" s="11"/>
      <c r="C948" s="11"/>
      <c r="D948" s="11"/>
      <c r="E948" s="11"/>
      <c r="F948" s="11"/>
      <c r="G948" s="11"/>
      <c r="H948" s="11"/>
      <c r="I948" s="11"/>
    </row>
    <row r="949">
      <c r="B949" s="11"/>
      <c r="C949" s="11"/>
      <c r="D949" s="11"/>
      <c r="E949" s="11"/>
      <c r="F949" s="11"/>
      <c r="G949" s="11"/>
      <c r="H949" s="11"/>
      <c r="I949" s="11"/>
    </row>
    <row r="950">
      <c r="B950" s="11"/>
      <c r="C950" s="11"/>
      <c r="D950" s="11"/>
      <c r="E950" s="11"/>
      <c r="F950" s="11"/>
      <c r="G950" s="11"/>
      <c r="H950" s="11"/>
      <c r="I950" s="11"/>
    </row>
    <row r="951">
      <c r="B951" s="11"/>
      <c r="C951" s="11"/>
      <c r="D951" s="11"/>
      <c r="E951" s="11"/>
      <c r="F951" s="11"/>
      <c r="G951" s="11"/>
      <c r="H951" s="11"/>
      <c r="I951" s="11"/>
    </row>
    <row r="952">
      <c r="B952" s="11"/>
      <c r="C952" s="11"/>
      <c r="D952" s="11"/>
      <c r="E952" s="11"/>
      <c r="F952" s="11"/>
      <c r="G952" s="11"/>
      <c r="H952" s="11"/>
      <c r="I952" s="11"/>
    </row>
    <row r="953">
      <c r="B953" s="11"/>
      <c r="C953" s="11"/>
      <c r="D953" s="11"/>
      <c r="E953" s="11"/>
      <c r="F953" s="11"/>
      <c r="G953" s="11"/>
      <c r="H953" s="11"/>
      <c r="I953" s="11"/>
    </row>
    <row r="954">
      <c r="B954" s="11"/>
      <c r="C954" s="11"/>
      <c r="D954" s="11"/>
      <c r="E954" s="11"/>
      <c r="F954" s="11"/>
      <c r="G954" s="11"/>
      <c r="H954" s="11"/>
      <c r="I954" s="11"/>
    </row>
    <row r="955">
      <c r="B955" s="11"/>
      <c r="C955" s="11"/>
      <c r="D955" s="11"/>
      <c r="E955" s="11"/>
      <c r="F955" s="11"/>
      <c r="G955" s="11"/>
      <c r="H955" s="11"/>
      <c r="I955" s="11"/>
    </row>
    <row r="956">
      <c r="B956" s="11"/>
      <c r="C956" s="11"/>
      <c r="D956" s="11"/>
      <c r="E956" s="11"/>
      <c r="F956" s="11"/>
      <c r="G956" s="11"/>
      <c r="H956" s="11"/>
      <c r="I956" s="11"/>
    </row>
    <row r="957">
      <c r="B957" s="11"/>
      <c r="C957" s="11"/>
      <c r="D957" s="11"/>
      <c r="E957" s="11"/>
      <c r="F957" s="11"/>
      <c r="G957" s="11"/>
      <c r="H957" s="11"/>
      <c r="I957" s="11"/>
    </row>
    <row r="958">
      <c r="B958" s="11"/>
      <c r="C958" s="11"/>
      <c r="D958" s="11"/>
      <c r="E958" s="11"/>
      <c r="F958" s="11"/>
      <c r="G958" s="11"/>
      <c r="H958" s="11"/>
      <c r="I958" s="11"/>
    </row>
    <row r="959">
      <c r="B959" s="11"/>
      <c r="C959" s="11"/>
      <c r="D959" s="11"/>
      <c r="E959" s="11"/>
      <c r="F959" s="11"/>
      <c r="G959" s="11"/>
      <c r="H959" s="11"/>
      <c r="I959" s="11"/>
    </row>
    <row r="960">
      <c r="B960" s="11"/>
      <c r="C960" s="11"/>
      <c r="D960" s="11"/>
      <c r="E960" s="11"/>
      <c r="F960" s="11"/>
      <c r="G960" s="11"/>
      <c r="H960" s="11"/>
      <c r="I960" s="11"/>
    </row>
    <row r="961">
      <c r="B961" s="11"/>
      <c r="C961" s="11"/>
      <c r="D961" s="11"/>
      <c r="E961" s="11"/>
      <c r="F961" s="11"/>
      <c r="G961" s="11"/>
      <c r="H961" s="11"/>
      <c r="I961" s="11"/>
    </row>
    <row r="962">
      <c r="B962" s="11"/>
      <c r="C962" s="11"/>
      <c r="D962" s="11"/>
      <c r="E962" s="11"/>
      <c r="F962" s="11"/>
      <c r="G962" s="11"/>
      <c r="H962" s="11"/>
      <c r="I962" s="11"/>
    </row>
    <row r="963">
      <c r="B963" s="11"/>
      <c r="C963" s="11"/>
      <c r="D963" s="11"/>
      <c r="E963" s="11"/>
      <c r="F963" s="11"/>
      <c r="G963" s="11"/>
      <c r="H963" s="11"/>
      <c r="I963" s="11"/>
    </row>
    <row r="964">
      <c r="B964" s="11"/>
      <c r="C964" s="11"/>
      <c r="D964" s="11"/>
      <c r="E964" s="11"/>
      <c r="F964" s="11"/>
      <c r="G964" s="11"/>
      <c r="H964" s="11"/>
      <c r="I964" s="11"/>
    </row>
    <row r="965">
      <c r="B965" s="11"/>
      <c r="C965" s="11"/>
      <c r="D965" s="11"/>
      <c r="E965" s="11"/>
      <c r="F965" s="11"/>
      <c r="G965" s="11"/>
      <c r="H965" s="11"/>
      <c r="I965" s="11"/>
    </row>
    <row r="966">
      <c r="B966" s="11"/>
      <c r="C966" s="11"/>
      <c r="D966" s="11"/>
      <c r="E966" s="11"/>
      <c r="F966" s="11"/>
      <c r="G966" s="11"/>
      <c r="H966" s="11"/>
      <c r="I966" s="11"/>
    </row>
  </sheetData>
  <conditionalFormatting sqref="B2:C10">
    <cfRule type="cellIs" dxfId="0" priority="1" operator="greaterThan">
      <formula>"95%"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25"/>
    <col customWidth="1" min="2" max="6" width="20.88"/>
  </cols>
  <sheetData>
    <row r="1">
      <c r="A1" s="1" t="s">
        <v>0</v>
      </c>
      <c r="B1" s="2" t="s">
        <v>1</v>
      </c>
      <c r="C1" s="2" t="s">
        <v>18</v>
      </c>
      <c r="D1" s="2" t="s">
        <v>19</v>
      </c>
      <c r="E1" s="6" t="s">
        <v>8</v>
      </c>
      <c r="F1" s="6" t="s">
        <v>20</v>
      </c>
    </row>
    <row r="2">
      <c r="A2" s="5" t="s">
        <v>17</v>
      </c>
      <c r="B2" s="9">
        <v>0.912087912087912</v>
      </c>
      <c r="C2" s="9">
        <v>0.927797833935018</v>
      </c>
      <c r="D2" s="9">
        <v>0.954792043399638</v>
      </c>
      <c r="E2" s="9">
        <f t="shared" ref="E2:E34" si="1">AVERAGE(B2:D2)</f>
        <v>0.9315592631</v>
      </c>
      <c r="F2" s="9">
        <f t="shared" ref="F2:F34" si="2">STDEV(B2:D2)</f>
        <v>0.02159911966</v>
      </c>
    </row>
    <row r="3">
      <c r="A3" s="5" t="s">
        <v>32</v>
      </c>
      <c r="B3" s="9">
        <v>0.958083832335329</v>
      </c>
      <c r="C3" s="9">
        <v>0.9425</v>
      </c>
      <c r="D3" s="9">
        <v>0.946996466431095</v>
      </c>
      <c r="E3" s="9">
        <f t="shared" si="1"/>
        <v>0.9491934329</v>
      </c>
      <c r="F3" s="9">
        <f t="shared" si="2"/>
        <v>0.008020844961</v>
      </c>
    </row>
    <row r="4">
      <c r="A4" s="5" t="s">
        <v>36</v>
      </c>
      <c r="B4" s="9">
        <v>0.93994140625</v>
      </c>
      <c r="C4" s="9">
        <v>0.86767578125</v>
      </c>
      <c r="D4" s="9">
        <v>0.88427734375</v>
      </c>
      <c r="E4" s="9">
        <f t="shared" si="1"/>
        <v>0.8972981771</v>
      </c>
      <c r="F4" s="9">
        <f t="shared" si="2"/>
        <v>0.03785150875</v>
      </c>
    </row>
    <row r="5">
      <c r="A5" s="5" t="s">
        <v>39</v>
      </c>
      <c r="B5" s="9">
        <v>0.9990234375</v>
      </c>
      <c r="C5" s="9">
        <v>1.0</v>
      </c>
      <c r="D5" s="9">
        <v>0.99755859375</v>
      </c>
      <c r="E5" s="9">
        <f t="shared" si="1"/>
        <v>0.9988606771</v>
      </c>
      <c r="F5" s="9">
        <f t="shared" si="2"/>
        <v>0.001228814198</v>
      </c>
    </row>
    <row r="6">
      <c r="A6" s="5" t="s">
        <v>41</v>
      </c>
      <c r="B6" s="9">
        <v>0.87109375</v>
      </c>
      <c r="C6" s="9">
        <v>0.7900390625</v>
      </c>
      <c r="D6" s="9">
        <v>0.81103515625</v>
      </c>
      <c r="E6" s="9">
        <f t="shared" si="1"/>
        <v>0.8240559896</v>
      </c>
      <c r="F6" s="9">
        <f t="shared" si="2"/>
        <v>0.04206687731</v>
      </c>
    </row>
    <row r="7">
      <c r="A7" s="5" t="s">
        <v>44</v>
      </c>
      <c r="B7" s="9">
        <v>0.991019545694664</v>
      </c>
      <c r="C7" s="9">
        <v>0.954845256215119</v>
      </c>
      <c r="D7" s="9">
        <v>0.977639105564222</v>
      </c>
      <c r="E7" s="9">
        <f t="shared" si="1"/>
        <v>0.9745013025</v>
      </c>
      <c r="F7" s="9">
        <f t="shared" si="2"/>
        <v>0.01829013835</v>
      </c>
    </row>
    <row r="8">
      <c r="A8" s="5" t="s">
        <v>23</v>
      </c>
      <c r="B8" s="9">
        <v>0.01513671875</v>
      </c>
      <c r="C8" s="9">
        <v>0.01513671875</v>
      </c>
      <c r="D8" s="9">
        <v>0.01513671875</v>
      </c>
      <c r="E8" s="9">
        <f t="shared" si="1"/>
        <v>0.01513671875</v>
      </c>
      <c r="F8" s="9">
        <f t="shared" si="2"/>
        <v>0</v>
      </c>
    </row>
    <row r="9">
      <c r="A9" s="5" t="s">
        <v>33</v>
      </c>
      <c r="B9" s="9">
        <v>0.92724609375</v>
      </c>
      <c r="C9" s="9">
        <v>0.96484375</v>
      </c>
      <c r="D9" s="9">
        <v>0.96728515625</v>
      </c>
      <c r="E9" s="9">
        <f t="shared" si="1"/>
        <v>0.953125</v>
      </c>
      <c r="F9" s="9">
        <f t="shared" si="2"/>
        <v>0.02244500964</v>
      </c>
    </row>
    <row r="10">
      <c r="A10" s="5" t="s">
        <v>35</v>
      </c>
      <c r="B10" s="9">
        <v>0.4091796875</v>
      </c>
      <c r="C10" s="9">
        <v>0.33740234375</v>
      </c>
      <c r="D10" s="9">
        <v>0.408203125</v>
      </c>
      <c r="E10" s="9">
        <f t="shared" si="1"/>
        <v>0.3849283854</v>
      </c>
      <c r="F10" s="9">
        <f t="shared" si="2"/>
        <v>0.04116165565</v>
      </c>
    </row>
    <row r="11">
      <c r="A11" s="5" t="s">
        <v>48</v>
      </c>
      <c r="B11" s="9">
        <v>0.97265625</v>
      </c>
      <c r="C11" s="9">
        <v>0.97998046875</v>
      </c>
      <c r="D11" s="9">
        <v>0.97265625</v>
      </c>
      <c r="E11" s="9">
        <f t="shared" si="1"/>
        <v>0.9750976563</v>
      </c>
      <c r="F11" s="9">
        <f t="shared" si="2"/>
        <v>0.004228639667</v>
      </c>
    </row>
    <row r="12">
      <c r="A12" s="5" t="s">
        <v>49</v>
      </c>
      <c r="B12" s="9">
        <v>0.62841796875</v>
      </c>
      <c r="C12" s="9">
        <v>0.70556640625</v>
      </c>
      <c r="D12" s="9">
        <v>0.64013671875</v>
      </c>
      <c r="E12" s="9">
        <f t="shared" si="1"/>
        <v>0.6580403646</v>
      </c>
      <c r="F12" s="9">
        <f t="shared" si="2"/>
        <v>0.04157373874</v>
      </c>
    </row>
    <row r="13">
      <c r="A13" s="5" t="s">
        <v>37</v>
      </c>
      <c r="B13" s="9">
        <v>0.30780029296875</v>
      </c>
      <c r="C13" s="9">
        <v>0.321464538574218</v>
      </c>
      <c r="D13" s="9">
        <v>0.339675903320312</v>
      </c>
      <c r="E13" s="9">
        <f t="shared" si="1"/>
        <v>0.322980245</v>
      </c>
      <c r="F13" s="9">
        <f t="shared" si="2"/>
        <v>0.01599176845</v>
      </c>
    </row>
    <row r="14">
      <c r="A14" s="5" t="s">
        <v>40</v>
      </c>
      <c r="B14" s="9">
        <v>0.832</v>
      </c>
      <c r="C14" s="9">
        <v>0.922705314009661</v>
      </c>
      <c r="D14" s="9">
        <v>0.93103448275862</v>
      </c>
      <c r="E14" s="9">
        <f t="shared" si="1"/>
        <v>0.8952465989</v>
      </c>
      <c r="F14" s="9">
        <f t="shared" si="2"/>
        <v>0.05493125676</v>
      </c>
    </row>
    <row r="15">
      <c r="A15" s="5" t="s">
        <v>34</v>
      </c>
      <c r="B15" s="9">
        <v>0.93310546875</v>
      </c>
      <c r="C15" s="9">
        <v>0.90234375</v>
      </c>
      <c r="D15" s="9">
        <v>0.71533203125</v>
      </c>
      <c r="E15" s="9">
        <f t="shared" si="1"/>
        <v>0.8502604167</v>
      </c>
      <c r="F15" s="9">
        <f t="shared" si="2"/>
        <v>0.1178593345</v>
      </c>
    </row>
    <row r="16">
      <c r="A16" s="5" t="s">
        <v>38</v>
      </c>
      <c r="B16" s="9">
        <v>0.017578125</v>
      </c>
      <c r="C16" s="9">
        <v>0.01806640625</v>
      </c>
      <c r="D16" s="9">
        <v>0.013671875</v>
      </c>
      <c r="E16" s="9">
        <f t="shared" si="1"/>
        <v>0.01643880208</v>
      </c>
      <c r="F16" s="9">
        <f t="shared" si="2"/>
        <v>0.00240863421</v>
      </c>
    </row>
    <row r="17">
      <c r="A17" s="5" t="s">
        <v>50</v>
      </c>
      <c r="B17" s="9">
        <v>0.428312159709618</v>
      </c>
      <c r="C17" s="9">
        <v>0.203463203463203</v>
      </c>
      <c r="D17" s="9">
        <v>0.694485842026825</v>
      </c>
      <c r="E17" s="9">
        <f t="shared" si="1"/>
        <v>0.4420870684</v>
      </c>
      <c r="F17" s="9">
        <f t="shared" si="2"/>
        <v>0.2458009743</v>
      </c>
    </row>
    <row r="18">
      <c r="A18" s="5" t="s">
        <v>51</v>
      </c>
      <c r="B18" s="9">
        <v>0.46435546875</v>
      </c>
      <c r="C18" s="9">
        <v>0.35888671875</v>
      </c>
      <c r="D18" s="9">
        <v>0.51025390625</v>
      </c>
      <c r="E18" s="9">
        <f t="shared" si="1"/>
        <v>0.4444986979</v>
      </c>
      <c r="F18" s="9">
        <f t="shared" si="2"/>
        <v>0.07761265924</v>
      </c>
    </row>
    <row r="19">
      <c r="A19" s="5" t="s">
        <v>52</v>
      </c>
      <c r="B19" s="9">
        <v>0.827972412109375</v>
      </c>
      <c r="C19" s="9">
        <v>0.825042724609375</v>
      </c>
      <c r="D19" s="9">
        <v>0.82763671875</v>
      </c>
      <c r="E19" s="9">
        <f t="shared" si="1"/>
        <v>0.8268839518</v>
      </c>
      <c r="F19" s="9">
        <f t="shared" si="2"/>
        <v>0.001603359207</v>
      </c>
    </row>
    <row r="20">
      <c r="A20" s="5" t="s">
        <v>53</v>
      </c>
      <c r="B20" s="9">
        <v>0.581100463867187</v>
      </c>
      <c r="C20" s="9">
        <v>0.0559463500976562</v>
      </c>
      <c r="D20" s="9">
        <v>0.50030517578125</v>
      </c>
      <c r="E20" s="9">
        <f t="shared" si="1"/>
        <v>0.3791173299</v>
      </c>
      <c r="F20" s="9">
        <f t="shared" si="2"/>
        <v>0.282774789</v>
      </c>
    </row>
    <row r="21">
      <c r="A21" s="5" t="s">
        <v>54</v>
      </c>
      <c r="B21" s="9">
        <v>0.01953125</v>
      </c>
      <c r="C21" s="9">
        <v>0.01611328125</v>
      </c>
      <c r="D21" s="9">
        <v>0.84033203125</v>
      </c>
      <c r="E21" s="9">
        <f t="shared" si="1"/>
        <v>0.2919921875</v>
      </c>
      <c r="F21" s="9">
        <f t="shared" si="2"/>
        <v>0.4748793097</v>
      </c>
    </row>
    <row r="22">
      <c r="A22" s="5" t="s">
        <v>55</v>
      </c>
      <c r="B22" s="9">
        <v>0.649331888768508</v>
      </c>
      <c r="C22" s="9">
        <v>0.86984381257509</v>
      </c>
      <c r="D22" s="9">
        <v>0.898950297205008</v>
      </c>
      <c r="E22" s="9">
        <f t="shared" si="1"/>
        <v>0.8060419995</v>
      </c>
      <c r="F22" s="9">
        <f t="shared" si="2"/>
        <v>0.136493007</v>
      </c>
    </row>
    <row r="23">
      <c r="A23" s="5" t="s">
        <v>43</v>
      </c>
      <c r="B23" s="9">
        <v>0.88330078125</v>
      </c>
      <c r="C23" s="9">
        <v>0.8359375</v>
      </c>
      <c r="D23" s="9">
        <v>0.8486328125</v>
      </c>
      <c r="E23" s="9">
        <f t="shared" si="1"/>
        <v>0.8559570313</v>
      </c>
      <c r="F23" s="9">
        <f t="shared" si="2"/>
        <v>0.02451638713</v>
      </c>
    </row>
    <row r="24">
      <c r="A24" s="5" t="s">
        <v>56</v>
      </c>
      <c r="B24" s="9">
        <v>0.01806640625</v>
      </c>
      <c r="C24" s="9">
        <v>0.01806640625</v>
      </c>
      <c r="D24" s="9">
        <v>0.01806640625</v>
      </c>
      <c r="E24" s="9">
        <f t="shared" si="1"/>
        <v>0.01806640625</v>
      </c>
      <c r="F24" s="9">
        <f t="shared" si="2"/>
        <v>0</v>
      </c>
    </row>
    <row r="25">
      <c r="A25" s="5" t="s">
        <v>57</v>
      </c>
      <c r="B25" s="9">
        <v>0.704689349112426</v>
      </c>
      <c r="C25" s="9">
        <v>0.812559171597633</v>
      </c>
      <c r="D25" s="9">
        <v>0.736457100591715</v>
      </c>
      <c r="E25" s="9">
        <f t="shared" si="1"/>
        <v>0.7512352071</v>
      </c>
      <c r="F25" s="9">
        <f t="shared" si="2"/>
        <v>0.0554325624</v>
      </c>
    </row>
    <row r="26">
      <c r="A26" s="5" t="s">
        <v>58</v>
      </c>
      <c r="B26" s="9">
        <v>0.015625</v>
      </c>
      <c r="C26" s="9">
        <v>0.017578125</v>
      </c>
      <c r="D26" s="9">
        <v>0.00634765625</v>
      </c>
      <c r="E26" s="9">
        <f t="shared" si="1"/>
        <v>0.01318359375</v>
      </c>
      <c r="F26" s="9">
        <f t="shared" si="2"/>
        <v>0.006000100453</v>
      </c>
    </row>
    <row r="27">
      <c r="A27" s="5" t="s">
        <v>42</v>
      </c>
      <c r="B27" s="9">
        <v>0.01513671875</v>
      </c>
      <c r="C27" s="9">
        <v>0.01513671875</v>
      </c>
      <c r="D27" s="9">
        <v>0.01513671875</v>
      </c>
      <c r="E27" s="9">
        <f t="shared" si="1"/>
        <v>0.01513671875</v>
      </c>
      <c r="F27" s="9">
        <f t="shared" si="2"/>
        <v>0</v>
      </c>
    </row>
    <row r="28">
      <c r="A28" s="5" t="s">
        <v>46</v>
      </c>
      <c r="B28" s="9">
        <v>0.971953578336557</v>
      </c>
      <c r="C28" s="9">
        <v>0.973183812774256</v>
      </c>
      <c r="D28" s="9">
        <v>0.969548133595285</v>
      </c>
      <c r="E28" s="9">
        <f t="shared" si="1"/>
        <v>0.9715618416</v>
      </c>
      <c r="F28" s="9">
        <f t="shared" si="2"/>
        <v>0.001849225255</v>
      </c>
    </row>
    <row r="29">
      <c r="A29" s="5" t="s">
        <v>59</v>
      </c>
      <c r="B29" s="9">
        <v>0.38330078125</v>
      </c>
      <c r="C29" s="9">
        <v>0.40380859375</v>
      </c>
      <c r="D29" s="9">
        <v>0.3330078125</v>
      </c>
      <c r="E29" s="9">
        <f t="shared" si="1"/>
        <v>0.3733723958</v>
      </c>
      <c r="F29" s="9">
        <f t="shared" si="2"/>
        <v>0.03642962097</v>
      </c>
    </row>
    <row r="30">
      <c r="A30" s="5" t="s">
        <v>47</v>
      </c>
      <c r="B30" s="9">
        <v>0.949623165410551</v>
      </c>
      <c r="C30" s="9">
        <v>0.884735202492211</v>
      </c>
      <c r="D30" s="9">
        <v>0.923351158645276</v>
      </c>
      <c r="E30" s="9">
        <f t="shared" si="1"/>
        <v>0.9192365088</v>
      </c>
      <c r="F30" s="9">
        <f t="shared" si="2"/>
        <v>0.03263908225</v>
      </c>
    </row>
    <row r="31">
      <c r="A31" s="5" t="s">
        <v>60</v>
      </c>
      <c r="B31" s="9">
        <v>0.833740234375</v>
      </c>
      <c r="C31" s="9">
        <v>0.803955078125</v>
      </c>
      <c r="D31" s="9">
        <v>0.845703125</v>
      </c>
      <c r="E31" s="9">
        <f t="shared" si="1"/>
        <v>0.8277994792</v>
      </c>
      <c r="F31" s="9">
        <f t="shared" si="2"/>
        <v>0.02149870424</v>
      </c>
    </row>
    <row r="32">
      <c r="A32" s="12" t="s">
        <v>45</v>
      </c>
      <c r="B32" s="15">
        <f t="shared" ref="B32:D32" si="3">AVERAGE(B2:B31)</f>
        <v>0.6153470049</v>
      </c>
      <c r="C32" s="15">
        <f t="shared" si="3"/>
        <v>0.5914874777</v>
      </c>
      <c r="D32" s="15">
        <f t="shared" si="3"/>
        <v>0.6514548622</v>
      </c>
      <c r="E32" s="9">
        <f t="shared" si="1"/>
        <v>0.6194297816</v>
      </c>
      <c r="F32" s="9">
        <f t="shared" si="2"/>
        <v>0.03019144913</v>
      </c>
    </row>
    <row r="33">
      <c r="A33" s="12" t="s">
        <v>61</v>
      </c>
      <c r="B33" s="15">
        <f t="shared" ref="B33:D33" si="4">_xlfn.STDEV.S(B2:B31)</f>
        <v>0.3643387098</v>
      </c>
      <c r="C33" s="15">
        <f t="shared" si="4"/>
        <v>0.3861688583</v>
      </c>
      <c r="D33" s="15">
        <f t="shared" si="4"/>
        <v>0.3470942302</v>
      </c>
      <c r="E33" s="9">
        <f t="shared" si="1"/>
        <v>0.3658672661</v>
      </c>
      <c r="F33" s="9">
        <f t="shared" si="2"/>
        <v>0.01958210926</v>
      </c>
    </row>
    <row r="34">
      <c r="A34" s="12" t="s">
        <v>62</v>
      </c>
      <c r="B34" s="15">
        <f t="shared" ref="B34:D34" si="5">MEDIAN(B2:B31)</f>
        <v>0.7663308806</v>
      </c>
      <c r="C34" s="15">
        <f t="shared" si="5"/>
        <v>0.8082571249</v>
      </c>
      <c r="D34" s="15">
        <f t="shared" si="5"/>
        <v>0.8193359375</v>
      </c>
      <c r="E34" s="9">
        <f t="shared" si="1"/>
        <v>0.7979746477</v>
      </c>
      <c r="F34" s="9">
        <f t="shared" si="2"/>
        <v>0.02795855892</v>
      </c>
    </row>
    <row r="35">
      <c r="A35" s="13"/>
      <c r="B35" s="11"/>
      <c r="C35" s="11"/>
      <c r="D35" s="11"/>
      <c r="E35" s="11"/>
      <c r="F35" s="11"/>
    </row>
    <row r="36">
      <c r="A36" s="13"/>
      <c r="B36" s="11"/>
      <c r="C36" s="11"/>
      <c r="D36" s="11"/>
      <c r="E36" s="11"/>
      <c r="F36" s="11"/>
    </row>
    <row r="37">
      <c r="A37" s="12" t="s">
        <v>63</v>
      </c>
      <c r="B37" s="15">
        <f t="shared" ref="B37:E37" si="6">B12</f>
        <v>0.6284179688</v>
      </c>
      <c r="C37" s="15">
        <f t="shared" si="6"/>
        <v>0.7055664063</v>
      </c>
      <c r="D37" s="15">
        <f t="shared" si="6"/>
        <v>0.6401367188</v>
      </c>
      <c r="E37" s="15">
        <f t="shared" si="6"/>
        <v>0.6580403646</v>
      </c>
      <c r="F37" s="15"/>
    </row>
    <row r="38">
      <c r="A38" s="12" t="s">
        <v>64</v>
      </c>
      <c r="B38" s="15">
        <f t="shared" ref="B38:E38" si="7">(B19+B20+B25)/3</f>
        <v>0.7045874084</v>
      </c>
      <c r="C38" s="15">
        <f t="shared" si="7"/>
        <v>0.5645160821</v>
      </c>
      <c r="D38" s="15">
        <f t="shared" si="7"/>
        <v>0.6881329984</v>
      </c>
      <c r="E38" s="15">
        <f t="shared" si="7"/>
        <v>0.6524121629</v>
      </c>
      <c r="F38" s="15"/>
    </row>
    <row r="39">
      <c r="A39" s="12" t="s">
        <v>65</v>
      </c>
      <c r="B39" s="15">
        <f t="shared" ref="B39:E39" si="8">(B14+B17+B28)/3</f>
        <v>0.7440885793</v>
      </c>
      <c r="C39" s="15">
        <f t="shared" si="8"/>
        <v>0.6997841101</v>
      </c>
      <c r="D39" s="15">
        <f t="shared" si="8"/>
        <v>0.8650228195</v>
      </c>
      <c r="E39" s="15">
        <f t="shared" si="8"/>
        <v>0.7696318363</v>
      </c>
      <c r="F39" s="15"/>
    </row>
    <row r="40">
      <c r="A40" s="12" t="s">
        <v>66</v>
      </c>
      <c r="B40" s="15">
        <f t="shared" ref="B40:E40" si="9">(B3+B4+B5+B7+B9+B10+B11+B13+B22+B23+B29+B31)/12</f>
        <v>0.771218686</v>
      </c>
      <c r="C40" s="15">
        <f t="shared" si="9"/>
        <v>0.7735214269</v>
      </c>
      <c r="D40" s="15">
        <f t="shared" si="9"/>
        <v>0.7850488326</v>
      </c>
      <c r="E40" s="15">
        <f t="shared" si="9"/>
        <v>0.7765963152</v>
      </c>
      <c r="F40" s="15"/>
    </row>
    <row r="41">
      <c r="A41" s="12" t="s">
        <v>67</v>
      </c>
      <c r="B41" s="15">
        <f t="shared" ref="B41:E41" si="10">(B2+B30)/2</f>
        <v>0.9308555387</v>
      </c>
      <c r="C41" s="15">
        <f t="shared" si="10"/>
        <v>0.9062665182</v>
      </c>
      <c r="D41" s="15">
        <f t="shared" si="10"/>
        <v>0.939071601</v>
      </c>
      <c r="E41" s="15">
        <f t="shared" si="10"/>
        <v>0.925397886</v>
      </c>
      <c r="F41" s="15"/>
    </row>
    <row r="42">
      <c r="A42" s="12" t="s">
        <v>68</v>
      </c>
      <c r="B42" s="15">
        <f t="shared" ref="B42:E42" si="11">(B6+B21+B26)/3</f>
        <v>0.3020833333</v>
      </c>
      <c r="C42" s="15">
        <f t="shared" si="11"/>
        <v>0.2745768229</v>
      </c>
      <c r="D42" s="15">
        <f t="shared" si="11"/>
        <v>0.5525716146</v>
      </c>
      <c r="E42" s="15">
        <f t="shared" si="11"/>
        <v>0.3764105903</v>
      </c>
      <c r="F42" s="15"/>
    </row>
    <row r="43">
      <c r="A43" s="12" t="s">
        <v>69</v>
      </c>
      <c r="B43" s="15">
        <f t="shared" ref="B43:E43" si="12">(B8+B15+B16+B27)/4</f>
        <v>0.2452392578</v>
      </c>
      <c r="C43" s="15">
        <f t="shared" si="12"/>
        <v>0.2376708984</v>
      </c>
      <c r="D43" s="15">
        <f t="shared" si="12"/>
        <v>0.1898193359</v>
      </c>
      <c r="E43" s="15">
        <f t="shared" si="12"/>
        <v>0.2242431641</v>
      </c>
      <c r="F43" s="15"/>
    </row>
    <row r="44">
      <c r="A44" s="12" t="s">
        <v>70</v>
      </c>
      <c r="B44" s="15">
        <f t="shared" ref="B44:E44" si="13">(B18+B24)/2</f>
        <v>0.2412109375</v>
      </c>
      <c r="C44" s="15">
        <f t="shared" si="13"/>
        <v>0.1884765625</v>
      </c>
      <c r="D44" s="15">
        <f t="shared" si="13"/>
        <v>0.2641601563</v>
      </c>
      <c r="E44" s="15">
        <f t="shared" si="13"/>
        <v>0.2312825521</v>
      </c>
      <c r="F44" s="15"/>
    </row>
    <row r="45">
      <c r="A45" s="13"/>
      <c r="B45" s="11"/>
      <c r="C45" s="11"/>
      <c r="D45" s="11"/>
      <c r="E45" s="11"/>
      <c r="F45" s="11"/>
    </row>
    <row r="46">
      <c r="A46" s="13"/>
      <c r="B46" s="11"/>
      <c r="C46" s="11"/>
      <c r="D46" s="11"/>
      <c r="E46" s="11"/>
      <c r="F46" s="11"/>
    </row>
    <row r="47">
      <c r="B47" s="11"/>
      <c r="C47" s="11"/>
      <c r="D47" s="11"/>
      <c r="E47" s="11"/>
      <c r="F47" s="11"/>
    </row>
    <row r="48">
      <c r="B48" s="11"/>
      <c r="C48" s="11"/>
      <c r="D48" s="11"/>
      <c r="E48" s="11"/>
      <c r="F48" s="11"/>
    </row>
    <row r="49">
      <c r="B49" s="11"/>
      <c r="C49" s="11"/>
      <c r="D49" s="11"/>
      <c r="E49" s="11"/>
      <c r="F49" s="11"/>
    </row>
    <row r="50">
      <c r="B50" s="11"/>
      <c r="C50" s="11"/>
      <c r="D50" s="11"/>
      <c r="E50" s="11"/>
      <c r="F50" s="11"/>
    </row>
    <row r="51">
      <c r="B51" s="11"/>
      <c r="C51" s="11"/>
      <c r="D51" s="11"/>
      <c r="E51" s="11"/>
      <c r="F51" s="11"/>
    </row>
    <row r="52">
      <c r="B52" s="11"/>
      <c r="C52" s="11"/>
      <c r="D52" s="11"/>
      <c r="E52" s="11"/>
      <c r="F52" s="11"/>
    </row>
    <row r="53">
      <c r="B53" s="11"/>
      <c r="C53" s="11"/>
      <c r="D53" s="11"/>
      <c r="E53" s="11"/>
      <c r="F53" s="11"/>
    </row>
    <row r="54">
      <c r="B54" s="11"/>
      <c r="C54" s="11"/>
      <c r="D54" s="11"/>
      <c r="E54" s="11"/>
      <c r="F54" s="11"/>
    </row>
    <row r="55">
      <c r="B55" s="11"/>
      <c r="C55" s="11"/>
      <c r="D55" s="11"/>
      <c r="E55" s="11"/>
      <c r="F55" s="11"/>
    </row>
    <row r="56">
      <c r="B56" s="11"/>
      <c r="C56" s="11"/>
      <c r="D56" s="11"/>
      <c r="E56" s="11"/>
      <c r="F56" s="11"/>
    </row>
    <row r="57">
      <c r="B57" s="11"/>
      <c r="C57" s="11"/>
      <c r="D57" s="11"/>
      <c r="E57" s="11"/>
      <c r="F57" s="11"/>
    </row>
    <row r="58">
      <c r="B58" s="11"/>
      <c r="C58" s="11"/>
      <c r="D58" s="11"/>
      <c r="E58" s="11"/>
      <c r="F58" s="11"/>
    </row>
    <row r="59">
      <c r="B59" s="11"/>
      <c r="C59" s="11"/>
      <c r="D59" s="11"/>
      <c r="E59" s="11"/>
      <c r="F59" s="11"/>
    </row>
    <row r="60">
      <c r="B60" s="11"/>
      <c r="C60" s="11"/>
      <c r="D60" s="11"/>
      <c r="E60" s="11"/>
      <c r="F60" s="11"/>
    </row>
    <row r="61">
      <c r="B61" s="11"/>
      <c r="C61" s="11"/>
      <c r="D61" s="11"/>
      <c r="E61" s="11"/>
      <c r="F61" s="11"/>
    </row>
    <row r="62">
      <c r="B62" s="11"/>
      <c r="C62" s="11"/>
      <c r="D62" s="11"/>
      <c r="E62" s="11"/>
      <c r="F62" s="11"/>
    </row>
    <row r="63">
      <c r="B63" s="11"/>
      <c r="C63" s="11"/>
      <c r="D63" s="11"/>
      <c r="E63" s="11"/>
      <c r="F63" s="11"/>
    </row>
    <row r="64">
      <c r="B64" s="11"/>
      <c r="C64" s="11"/>
      <c r="D64" s="11"/>
      <c r="E64" s="11"/>
      <c r="F64" s="11"/>
    </row>
    <row r="65">
      <c r="B65" s="11"/>
      <c r="C65" s="11"/>
      <c r="D65" s="11"/>
      <c r="E65" s="11"/>
      <c r="F65" s="11"/>
    </row>
    <row r="66">
      <c r="B66" s="11"/>
      <c r="C66" s="11"/>
      <c r="D66" s="11"/>
      <c r="E66" s="11"/>
      <c r="F66" s="11"/>
    </row>
    <row r="67">
      <c r="B67" s="11"/>
      <c r="C67" s="11"/>
      <c r="D67" s="11"/>
      <c r="E67" s="11"/>
      <c r="F67" s="11"/>
    </row>
    <row r="68">
      <c r="B68" s="11"/>
      <c r="C68" s="11"/>
      <c r="D68" s="11"/>
      <c r="E68" s="11"/>
      <c r="F68" s="11"/>
    </row>
    <row r="69">
      <c r="B69" s="11"/>
      <c r="C69" s="11"/>
      <c r="D69" s="11"/>
      <c r="E69" s="11"/>
      <c r="F69" s="11"/>
    </row>
    <row r="70">
      <c r="B70" s="11"/>
      <c r="C70" s="11"/>
      <c r="D70" s="11"/>
      <c r="E70" s="11"/>
      <c r="F70" s="11"/>
    </row>
    <row r="71">
      <c r="B71" s="11"/>
      <c r="C71" s="11"/>
      <c r="D71" s="11"/>
      <c r="E71" s="11"/>
      <c r="F71" s="11"/>
    </row>
    <row r="72">
      <c r="B72" s="11"/>
      <c r="C72" s="11"/>
      <c r="D72" s="11"/>
      <c r="E72" s="11"/>
      <c r="F72" s="11"/>
    </row>
    <row r="73">
      <c r="B73" s="11"/>
      <c r="C73" s="11"/>
      <c r="D73" s="11"/>
      <c r="E73" s="11"/>
      <c r="F73" s="11"/>
    </row>
    <row r="74">
      <c r="B74" s="11"/>
      <c r="C74" s="11"/>
      <c r="D74" s="11"/>
      <c r="E74" s="11"/>
      <c r="F74" s="11"/>
    </row>
    <row r="75">
      <c r="B75" s="11"/>
      <c r="C75" s="11"/>
      <c r="D75" s="11"/>
      <c r="E75" s="11"/>
      <c r="F75" s="11"/>
    </row>
    <row r="76">
      <c r="B76" s="11"/>
      <c r="C76" s="11"/>
      <c r="D76" s="11"/>
      <c r="E76" s="11"/>
      <c r="F76" s="11"/>
    </row>
    <row r="77">
      <c r="B77" s="11"/>
      <c r="C77" s="11"/>
      <c r="D77" s="11"/>
      <c r="E77" s="11"/>
      <c r="F77" s="11"/>
    </row>
    <row r="78">
      <c r="B78" s="11"/>
      <c r="C78" s="11"/>
      <c r="D78" s="11"/>
      <c r="E78" s="11"/>
      <c r="F78" s="11"/>
    </row>
    <row r="79">
      <c r="B79" s="11"/>
      <c r="C79" s="11"/>
      <c r="D79" s="11"/>
      <c r="E79" s="11"/>
      <c r="F79" s="11"/>
    </row>
    <row r="80">
      <c r="B80" s="11"/>
      <c r="C80" s="11"/>
      <c r="D80" s="11"/>
      <c r="E80" s="11"/>
      <c r="F80" s="11"/>
    </row>
    <row r="81">
      <c r="B81" s="11"/>
      <c r="C81" s="11"/>
      <c r="D81" s="11"/>
      <c r="E81" s="11"/>
      <c r="F81" s="11"/>
    </row>
    <row r="82">
      <c r="B82" s="11"/>
      <c r="C82" s="11"/>
      <c r="D82" s="11"/>
      <c r="E82" s="11"/>
      <c r="F82" s="11"/>
    </row>
    <row r="83">
      <c r="B83" s="11"/>
      <c r="C83" s="11"/>
      <c r="D83" s="11"/>
      <c r="E83" s="11"/>
      <c r="F83" s="11"/>
    </row>
    <row r="84">
      <c r="B84" s="11"/>
      <c r="C84" s="11"/>
      <c r="D84" s="11"/>
      <c r="E84" s="11"/>
      <c r="F84" s="11"/>
    </row>
    <row r="85">
      <c r="B85" s="11"/>
      <c r="C85" s="11"/>
      <c r="D85" s="11"/>
      <c r="E85" s="11"/>
      <c r="F85" s="11"/>
    </row>
    <row r="86">
      <c r="B86" s="11"/>
      <c r="C86" s="11"/>
      <c r="D86" s="11"/>
      <c r="E86" s="11"/>
      <c r="F86" s="11"/>
    </row>
    <row r="87">
      <c r="B87" s="11"/>
      <c r="C87" s="11"/>
      <c r="D87" s="11"/>
      <c r="E87" s="11"/>
      <c r="F87" s="11"/>
    </row>
    <row r="88">
      <c r="B88" s="11"/>
      <c r="C88" s="11"/>
      <c r="D88" s="11"/>
      <c r="E88" s="11"/>
      <c r="F88" s="11"/>
    </row>
    <row r="89">
      <c r="B89" s="11"/>
      <c r="C89" s="11"/>
      <c r="D89" s="11"/>
      <c r="E89" s="11"/>
      <c r="F89" s="11"/>
    </row>
    <row r="90">
      <c r="B90" s="11"/>
      <c r="C90" s="11"/>
      <c r="D90" s="11"/>
      <c r="E90" s="11"/>
      <c r="F90" s="11"/>
    </row>
    <row r="91">
      <c r="B91" s="11"/>
      <c r="C91" s="11"/>
      <c r="D91" s="11"/>
      <c r="E91" s="11"/>
      <c r="F91" s="11"/>
    </row>
    <row r="92">
      <c r="B92" s="11"/>
      <c r="C92" s="11"/>
      <c r="D92" s="11"/>
      <c r="E92" s="11"/>
      <c r="F92" s="11"/>
    </row>
    <row r="93">
      <c r="B93" s="11"/>
      <c r="C93" s="11"/>
      <c r="D93" s="11"/>
      <c r="E93" s="11"/>
      <c r="F93" s="11"/>
    </row>
    <row r="94">
      <c r="B94" s="11"/>
      <c r="C94" s="11"/>
      <c r="D94" s="11"/>
      <c r="E94" s="11"/>
      <c r="F94" s="11"/>
    </row>
    <row r="95">
      <c r="B95" s="11"/>
      <c r="C95" s="11"/>
      <c r="D95" s="11"/>
      <c r="E95" s="11"/>
      <c r="F95" s="11"/>
    </row>
    <row r="96">
      <c r="B96" s="11"/>
      <c r="C96" s="11"/>
      <c r="D96" s="11"/>
      <c r="E96" s="11"/>
      <c r="F96" s="11"/>
    </row>
    <row r="97">
      <c r="B97" s="11"/>
      <c r="C97" s="11"/>
      <c r="D97" s="11"/>
      <c r="E97" s="11"/>
      <c r="F97" s="11"/>
    </row>
    <row r="98">
      <c r="B98" s="11"/>
      <c r="C98" s="11"/>
      <c r="D98" s="11"/>
      <c r="E98" s="11"/>
      <c r="F98" s="11"/>
    </row>
    <row r="99">
      <c r="B99" s="11"/>
      <c r="C99" s="11"/>
      <c r="D99" s="11"/>
      <c r="E99" s="11"/>
      <c r="F99" s="11"/>
    </row>
    <row r="100">
      <c r="B100" s="11"/>
      <c r="C100" s="11"/>
      <c r="D100" s="11"/>
      <c r="E100" s="11"/>
      <c r="F100" s="11"/>
    </row>
    <row r="101">
      <c r="B101" s="11"/>
      <c r="C101" s="11"/>
      <c r="D101" s="11"/>
      <c r="E101" s="11"/>
      <c r="F101" s="11"/>
    </row>
    <row r="102">
      <c r="B102" s="11"/>
      <c r="C102" s="11"/>
      <c r="D102" s="11"/>
      <c r="E102" s="11"/>
      <c r="F102" s="11"/>
    </row>
    <row r="103">
      <c r="B103" s="11"/>
      <c r="C103" s="11"/>
      <c r="D103" s="11"/>
      <c r="E103" s="11"/>
      <c r="F103" s="11"/>
    </row>
    <row r="104">
      <c r="B104" s="11"/>
      <c r="C104" s="11"/>
      <c r="D104" s="11"/>
      <c r="E104" s="11"/>
      <c r="F104" s="11"/>
    </row>
    <row r="105">
      <c r="B105" s="11"/>
      <c r="C105" s="11"/>
      <c r="D105" s="11"/>
      <c r="E105" s="11"/>
      <c r="F105" s="11"/>
    </row>
    <row r="106">
      <c r="B106" s="11"/>
      <c r="C106" s="11"/>
      <c r="D106" s="11"/>
      <c r="E106" s="11"/>
      <c r="F106" s="11"/>
    </row>
    <row r="107">
      <c r="B107" s="11"/>
      <c r="C107" s="11"/>
      <c r="D107" s="11"/>
      <c r="E107" s="11"/>
      <c r="F107" s="11"/>
    </row>
    <row r="108">
      <c r="B108" s="11"/>
      <c r="C108" s="11"/>
      <c r="D108" s="11"/>
      <c r="E108" s="11"/>
      <c r="F108" s="11"/>
    </row>
    <row r="109">
      <c r="B109" s="11"/>
      <c r="C109" s="11"/>
      <c r="D109" s="11"/>
      <c r="E109" s="11"/>
      <c r="F109" s="11"/>
    </row>
    <row r="110">
      <c r="B110" s="11"/>
      <c r="C110" s="11"/>
      <c r="D110" s="11"/>
      <c r="E110" s="11"/>
      <c r="F110" s="11"/>
    </row>
    <row r="111">
      <c r="B111" s="11"/>
      <c r="C111" s="11"/>
      <c r="D111" s="11"/>
      <c r="E111" s="11"/>
      <c r="F111" s="11"/>
    </row>
    <row r="112">
      <c r="B112" s="11"/>
      <c r="C112" s="11"/>
      <c r="D112" s="11"/>
      <c r="E112" s="11"/>
      <c r="F112" s="11"/>
    </row>
    <row r="113">
      <c r="B113" s="11"/>
      <c r="C113" s="11"/>
      <c r="D113" s="11"/>
      <c r="E113" s="11"/>
      <c r="F113" s="11"/>
    </row>
    <row r="114">
      <c r="B114" s="11"/>
      <c r="C114" s="11"/>
      <c r="D114" s="11"/>
      <c r="E114" s="11"/>
      <c r="F114" s="11"/>
    </row>
    <row r="115">
      <c r="B115" s="11"/>
      <c r="C115" s="11"/>
      <c r="D115" s="11"/>
      <c r="E115" s="11"/>
      <c r="F115" s="11"/>
    </row>
    <row r="116">
      <c r="B116" s="11"/>
      <c r="C116" s="11"/>
      <c r="D116" s="11"/>
      <c r="E116" s="11"/>
      <c r="F116" s="11"/>
    </row>
    <row r="117">
      <c r="B117" s="11"/>
      <c r="C117" s="11"/>
      <c r="D117" s="11"/>
      <c r="E117" s="11"/>
      <c r="F117" s="11"/>
    </row>
    <row r="118">
      <c r="B118" s="11"/>
      <c r="C118" s="11"/>
      <c r="D118" s="11"/>
      <c r="E118" s="11"/>
      <c r="F118" s="11"/>
    </row>
    <row r="119">
      <c r="B119" s="11"/>
      <c r="C119" s="11"/>
      <c r="D119" s="11"/>
      <c r="E119" s="11"/>
      <c r="F119" s="11"/>
    </row>
    <row r="120">
      <c r="B120" s="11"/>
      <c r="C120" s="11"/>
      <c r="D120" s="11"/>
      <c r="E120" s="11"/>
      <c r="F120" s="11"/>
    </row>
    <row r="121">
      <c r="B121" s="11"/>
      <c r="C121" s="11"/>
      <c r="D121" s="11"/>
      <c r="E121" s="11"/>
      <c r="F121" s="11"/>
    </row>
    <row r="122">
      <c r="B122" s="11"/>
      <c r="C122" s="11"/>
      <c r="D122" s="11"/>
      <c r="E122" s="11"/>
      <c r="F122" s="11"/>
    </row>
    <row r="123">
      <c r="B123" s="11"/>
      <c r="C123" s="11"/>
      <c r="D123" s="11"/>
      <c r="E123" s="11"/>
      <c r="F123" s="11"/>
    </row>
    <row r="124">
      <c r="B124" s="11"/>
      <c r="C124" s="11"/>
      <c r="D124" s="11"/>
      <c r="E124" s="11"/>
      <c r="F124" s="11"/>
    </row>
    <row r="125">
      <c r="B125" s="11"/>
      <c r="C125" s="11"/>
      <c r="D125" s="11"/>
      <c r="E125" s="11"/>
      <c r="F125" s="11"/>
    </row>
    <row r="126">
      <c r="B126" s="11"/>
      <c r="C126" s="11"/>
      <c r="D126" s="11"/>
      <c r="E126" s="11"/>
      <c r="F126" s="11"/>
    </row>
    <row r="127">
      <c r="B127" s="11"/>
      <c r="C127" s="11"/>
      <c r="D127" s="11"/>
      <c r="E127" s="11"/>
      <c r="F127" s="11"/>
    </row>
    <row r="128">
      <c r="B128" s="11"/>
      <c r="C128" s="11"/>
      <c r="D128" s="11"/>
      <c r="E128" s="11"/>
      <c r="F128" s="11"/>
    </row>
    <row r="129">
      <c r="B129" s="11"/>
      <c r="C129" s="11"/>
      <c r="D129" s="11"/>
      <c r="E129" s="11"/>
      <c r="F129" s="11"/>
    </row>
    <row r="130">
      <c r="B130" s="11"/>
      <c r="C130" s="11"/>
      <c r="D130" s="11"/>
      <c r="E130" s="11"/>
      <c r="F130" s="11"/>
    </row>
    <row r="131">
      <c r="B131" s="11"/>
      <c r="C131" s="11"/>
      <c r="D131" s="11"/>
      <c r="E131" s="11"/>
      <c r="F131" s="11"/>
    </row>
    <row r="132">
      <c r="B132" s="11"/>
      <c r="C132" s="11"/>
      <c r="D132" s="11"/>
      <c r="E132" s="11"/>
      <c r="F132" s="11"/>
    </row>
    <row r="133">
      <c r="B133" s="11"/>
      <c r="C133" s="11"/>
      <c r="D133" s="11"/>
      <c r="E133" s="11"/>
      <c r="F133" s="11"/>
    </row>
    <row r="134">
      <c r="B134" s="11"/>
      <c r="C134" s="11"/>
      <c r="D134" s="11"/>
      <c r="E134" s="11"/>
      <c r="F134" s="11"/>
    </row>
    <row r="135">
      <c r="B135" s="11"/>
      <c r="C135" s="11"/>
      <c r="D135" s="11"/>
      <c r="E135" s="11"/>
      <c r="F135" s="11"/>
    </row>
    <row r="136">
      <c r="B136" s="11"/>
      <c r="C136" s="11"/>
      <c r="D136" s="11"/>
      <c r="E136" s="11"/>
      <c r="F136" s="11"/>
    </row>
    <row r="137">
      <c r="B137" s="11"/>
      <c r="C137" s="11"/>
      <c r="D137" s="11"/>
      <c r="E137" s="11"/>
      <c r="F137" s="11"/>
    </row>
    <row r="138">
      <c r="B138" s="11"/>
      <c r="C138" s="11"/>
      <c r="D138" s="11"/>
      <c r="E138" s="11"/>
      <c r="F138" s="11"/>
    </row>
    <row r="139">
      <c r="B139" s="11"/>
      <c r="C139" s="11"/>
      <c r="D139" s="11"/>
      <c r="E139" s="11"/>
      <c r="F139" s="11"/>
    </row>
    <row r="140">
      <c r="B140" s="11"/>
      <c r="C140" s="11"/>
      <c r="D140" s="11"/>
      <c r="E140" s="11"/>
      <c r="F140" s="11"/>
    </row>
    <row r="141">
      <c r="B141" s="11"/>
      <c r="C141" s="11"/>
      <c r="D141" s="11"/>
      <c r="E141" s="11"/>
      <c r="F141" s="11"/>
    </row>
    <row r="142">
      <c r="B142" s="11"/>
      <c r="C142" s="11"/>
      <c r="D142" s="11"/>
      <c r="E142" s="11"/>
      <c r="F142" s="11"/>
    </row>
    <row r="143">
      <c r="B143" s="11"/>
      <c r="C143" s="11"/>
      <c r="D143" s="11"/>
      <c r="E143" s="11"/>
      <c r="F143" s="11"/>
    </row>
    <row r="144">
      <c r="B144" s="11"/>
      <c r="C144" s="11"/>
      <c r="D144" s="11"/>
      <c r="E144" s="11"/>
      <c r="F144" s="11"/>
    </row>
    <row r="145">
      <c r="B145" s="11"/>
      <c r="C145" s="11"/>
      <c r="D145" s="11"/>
      <c r="E145" s="11"/>
      <c r="F145" s="11"/>
    </row>
    <row r="146">
      <c r="B146" s="11"/>
      <c r="C146" s="11"/>
      <c r="D146" s="11"/>
      <c r="E146" s="11"/>
      <c r="F146" s="11"/>
    </row>
    <row r="147">
      <c r="B147" s="11"/>
      <c r="C147" s="11"/>
      <c r="D147" s="11"/>
      <c r="E147" s="11"/>
      <c r="F147" s="11"/>
    </row>
    <row r="148">
      <c r="B148" s="11"/>
      <c r="C148" s="11"/>
      <c r="D148" s="11"/>
      <c r="E148" s="11"/>
      <c r="F148" s="11"/>
    </row>
    <row r="149">
      <c r="B149" s="11"/>
      <c r="C149" s="11"/>
      <c r="D149" s="11"/>
      <c r="E149" s="11"/>
      <c r="F149" s="11"/>
    </row>
    <row r="150">
      <c r="B150" s="11"/>
      <c r="C150" s="11"/>
      <c r="D150" s="11"/>
      <c r="E150" s="11"/>
      <c r="F150" s="11"/>
    </row>
    <row r="151">
      <c r="B151" s="11"/>
      <c r="C151" s="11"/>
      <c r="D151" s="11"/>
      <c r="E151" s="11"/>
      <c r="F151" s="11"/>
    </row>
    <row r="152">
      <c r="B152" s="11"/>
      <c r="C152" s="11"/>
      <c r="D152" s="11"/>
      <c r="E152" s="11"/>
      <c r="F152" s="11"/>
    </row>
    <row r="153">
      <c r="B153" s="11"/>
      <c r="C153" s="11"/>
      <c r="D153" s="11"/>
      <c r="E153" s="11"/>
      <c r="F153" s="11"/>
    </row>
    <row r="154">
      <c r="B154" s="11"/>
      <c r="C154" s="11"/>
      <c r="D154" s="11"/>
      <c r="E154" s="11"/>
      <c r="F154" s="11"/>
    </row>
    <row r="155">
      <c r="B155" s="11"/>
      <c r="C155" s="11"/>
      <c r="D155" s="11"/>
      <c r="E155" s="11"/>
      <c r="F155" s="11"/>
    </row>
    <row r="156">
      <c r="B156" s="11"/>
      <c r="C156" s="11"/>
      <c r="D156" s="11"/>
      <c r="E156" s="11"/>
      <c r="F156" s="11"/>
    </row>
    <row r="157">
      <c r="B157" s="11"/>
      <c r="C157" s="11"/>
      <c r="D157" s="11"/>
      <c r="E157" s="11"/>
      <c r="F157" s="11"/>
    </row>
    <row r="158">
      <c r="B158" s="11"/>
      <c r="C158" s="11"/>
      <c r="D158" s="11"/>
      <c r="E158" s="11"/>
      <c r="F158" s="11"/>
    </row>
    <row r="159">
      <c r="B159" s="11"/>
      <c r="C159" s="11"/>
      <c r="D159" s="11"/>
      <c r="E159" s="11"/>
      <c r="F159" s="11"/>
    </row>
    <row r="160">
      <c r="B160" s="11"/>
      <c r="C160" s="11"/>
      <c r="D160" s="11"/>
      <c r="E160" s="11"/>
      <c r="F160" s="11"/>
    </row>
    <row r="161">
      <c r="B161" s="11"/>
      <c r="C161" s="11"/>
      <c r="D161" s="11"/>
      <c r="E161" s="11"/>
      <c r="F161" s="11"/>
    </row>
    <row r="162">
      <c r="B162" s="11"/>
      <c r="C162" s="11"/>
      <c r="D162" s="11"/>
      <c r="E162" s="11"/>
      <c r="F162" s="11"/>
    </row>
    <row r="163">
      <c r="B163" s="11"/>
      <c r="C163" s="11"/>
      <c r="D163" s="11"/>
      <c r="E163" s="11"/>
      <c r="F163" s="11"/>
    </row>
    <row r="164">
      <c r="B164" s="11"/>
      <c r="C164" s="11"/>
      <c r="D164" s="11"/>
      <c r="E164" s="11"/>
      <c r="F164" s="11"/>
    </row>
    <row r="165">
      <c r="B165" s="11"/>
      <c r="C165" s="11"/>
      <c r="D165" s="11"/>
      <c r="E165" s="11"/>
      <c r="F165" s="11"/>
    </row>
    <row r="166">
      <c r="B166" s="11"/>
      <c r="C166" s="11"/>
      <c r="D166" s="11"/>
      <c r="E166" s="11"/>
      <c r="F166" s="11"/>
    </row>
    <row r="167">
      <c r="B167" s="11"/>
      <c r="C167" s="11"/>
      <c r="D167" s="11"/>
      <c r="E167" s="11"/>
      <c r="F167" s="11"/>
    </row>
    <row r="168">
      <c r="B168" s="11"/>
      <c r="C168" s="11"/>
      <c r="D168" s="11"/>
      <c r="E168" s="11"/>
      <c r="F168" s="11"/>
    </row>
    <row r="169">
      <c r="B169" s="11"/>
      <c r="C169" s="11"/>
      <c r="D169" s="11"/>
      <c r="E169" s="11"/>
      <c r="F169" s="11"/>
    </row>
    <row r="170">
      <c r="B170" s="11"/>
      <c r="C170" s="11"/>
      <c r="D170" s="11"/>
      <c r="E170" s="11"/>
      <c r="F170" s="11"/>
    </row>
    <row r="171">
      <c r="B171" s="11"/>
      <c r="C171" s="11"/>
      <c r="D171" s="11"/>
      <c r="E171" s="11"/>
      <c r="F171" s="11"/>
    </row>
    <row r="172">
      <c r="B172" s="11"/>
      <c r="C172" s="11"/>
      <c r="D172" s="11"/>
      <c r="E172" s="11"/>
      <c r="F172" s="11"/>
    </row>
    <row r="173">
      <c r="B173" s="11"/>
      <c r="C173" s="11"/>
      <c r="D173" s="11"/>
      <c r="E173" s="11"/>
      <c r="F173" s="11"/>
    </row>
    <row r="174">
      <c r="B174" s="11"/>
      <c r="C174" s="11"/>
      <c r="D174" s="11"/>
      <c r="E174" s="11"/>
      <c r="F174" s="11"/>
    </row>
    <row r="175">
      <c r="B175" s="11"/>
      <c r="C175" s="11"/>
      <c r="D175" s="11"/>
      <c r="E175" s="11"/>
      <c r="F175" s="11"/>
    </row>
    <row r="176">
      <c r="B176" s="11"/>
      <c r="C176" s="11"/>
      <c r="D176" s="11"/>
      <c r="E176" s="11"/>
      <c r="F176" s="11"/>
    </row>
    <row r="177">
      <c r="B177" s="11"/>
      <c r="C177" s="11"/>
      <c r="D177" s="11"/>
      <c r="E177" s="11"/>
      <c r="F177" s="11"/>
    </row>
    <row r="178">
      <c r="B178" s="11"/>
      <c r="C178" s="11"/>
      <c r="D178" s="11"/>
      <c r="E178" s="11"/>
      <c r="F178" s="11"/>
    </row>
    <row r="179">
      <c r="B179" s="11"/>
      <c r="C179" s="11"/>
      <c r="D179" s="11"/>
      <c r="E179" s="11"/>
      <c r="F179" s="11"/>
    </row>
    <row r="180">
      <c r="B180" s="11"/>
      <c r="C180" s="11"/>
      <c r="D180" s="11"/>
      <c r="E180" s="11"/>
      <c r="F180" s="11"/>
    </row>
    <row r="181">
      <c r="B181" s="11"/>
      <c r="C181" s="11"/>
      <c r="D181" s="11"/>
      <c r="E181" s="11"/>
      <c r="F181" s="11"/>
    </row>
    <row r="182">
      <c r="B182" s="11"/>
      <c r="C182" s="11"/>
      <c r="D182" s="11"/>
      <c r="E182" s="11"/>
      <c r="F182" s="11"/>
    </row>
    <row r="183">
      <c r="B183" s="11"/>
      <c r="C183" s="11"/>
      <c r="D183" s="11"/>
      <c r="E183" s="11"/>
      <c r="F183" s="11"/>
    </row>
    <row r="184">
      <c r="B184" s="11"/>
      <c r="C184" s="11"/>
      <c r="D184" s="11"/>
      <c r="E184" s="11"/>
      <c r="F184" s="11"/>
    </row>
    <row r="185">
      <c r="B185" s="11"/>
      <c r="C185" s="11"/>
      <c r="D185" s="11"/>
      <c r="E185" s="11"/>
      <c r="F185" s="11"/>
    </row>
    <row r="186">
      <c r="B186" s="11"/>
      <c r="C186" s="11"/>
      <c r="D186" s="11"/>
      <c r="E186" s="11"/>
      <c r="F186" s="11"/>
    </row>
    <row r="187">
      <c r="B187" s="11"/>
      <c r="C187" s="11"/>
      <c r="D187" s="11"/>
      <c r="E187" s="11"/>
      <c r="F187" s="11"/>
    </row>
    <row r="188">
      <c r="B188" s="11"/>
      <c r="C188" s="11"/>
      <c r="D188" s="11"/>
      <c r="E188" s="11"/>
      <c r="F188" s="11"/>
    </row>
    <row r="189">
      <c r="B189" s="11"/>
      <c r="C189" s="11"/>
      <c r="D189" s="11"/>
      <c r="E189" s="11"/>
      <c r="F189" s="11"/>
    </row>
    <row r="190">
      <c r="B190" s="11"/>
      <c r="C190" s="11"/>
      <c r="D190" s="11"/>
      <c r="E190" s="11"/>
      <c r="F190" s="11"/>
    </row>
    <row r="191">
      <c r="B191" s="11"/>
      <c r="C191" s="11"/>
      <c r="D191" s="11"/>
      <c r="E191" s="11"/>
      <c r="F191" s="11"/>
    </row>
    <row r="192">
      <c r="B192" s="11"/>
      <c r="C192" s="11"/>
      <c r="D192" s="11"/>
      <c r="E192" s="11"/>
      <c r="F192" s="11"/>
    </row>
    <row r="193">
      <c r="B193" s="11"/>
      <c r="C193" s="11"/>
      <c r="D193" s="11"/>
      <c r="E193" s="11"/>
      <c r="F193" s="11"/>
    </row>
    <row r="194">
      <c r="B194" s="11"/>
      <c r="C194" s="11"/>
      <c r="D194" s="11"/>
      <c r="E194" s="11"/>
      <c r="F194" s="11"/>
    </row>
    <row r="195">
      <c r="B195" s="11"/>
      <c r="C195" s="11"/>
      <c r="D195" s="11"/>
      <c r="E195" s="11"/>
      <c r="F195" s="11"/>
    </row>
    <row r="196">
      <c r="B196" s="11"/>
      <c r="C196" s="11"/>
      <c r="D196" s="11"/>
      <c r="E196" s="11"/>
      <c r="F196" s="11"/>
    </row>
    <row r="197">
      <c r="B197" s="11"/>
      <c r="C197" s="11"/>
      <c r="D197" s="11"/>
      <c r="E197" s="11"/>
      <c r="F197" s="11"/>
    </row>
    <row r="198">
      <c r="B198" s="11"/>
      <c r="C198" s="11"/>
      <c r="D198" s="11"/>
      <c r="E198" s="11"/>
      <c r="F198" s="11"/>
    </row>
    <row r="199">
      <c r="B199" s="11"/>
      <c r="C199" s="11"/>
      <c r="D199" s="11"/>
      <c r="E199" s="11"/>
      <c r="F199" s="11"/>
    </row>
    <row r="200">
      <c r="B200" s="11"/>
      <c r="C200" s="11"/>
      <c r="D200" s="11"/>
      <c r="E200" s="11"/>
      <c r="F200" s="11"/>
    </row>
    <row r="201">
      <c r="B201" s="11"/>
      <c r="C201" s="11"/>
      <c r="D201" s="11"/>
      <c r="E201" s="11"/>
      <c r="F201" s="11"/>
    </row>
    <row r="202">
      <c r="B202" s="11"/>
      <c r="C202" s="11"/>
      <c r="D202" s="11"/>
      <c r="E202" s="11"/>
      <c r="F202" s="11"/>
    </row>
    <row r="203">
      <c r="B203" s="11"/>
      <c r="C203" s="11"/>
      <c r="D203" s="11"/>
      <c r="E203" s="11"/>
      <c r="F203" s="11"/>
    </row>
    <row r="204">
      <c r="B204" s="11"/>
      <c r="C204" s="11"/>
      <c r="D204" s="11"/>
      <c r="E204" s="11"/>
      <c r="F204" s="11"/>
    </row>
    <row r="205">
      <c r="B205" s="11"/>
      <c r="C205" s="11"/>
      <c r="D205" s="11"/>
      <c r="E205" s="11"/>
      <c r="F205" s="11"/>
    </row>
    <row r="206">
      <c r="B206" s="11"/>
      <c r="C206" s="11"/>
      <c r="D206" s="11"/>
      <c r="E206" s="11"/>
      <c r="F206" s="11"/>
    </row>
    <row r="207">
      <c r="B207" s="11"/>
      <c r="C207" s="11"/>
      <c r="D207" s="11"/>
      <c r="E207" s="11"/>
      <c r="F207" s="11"/>
    </row>
    <row r="208">
      <c r="B208" s="11"/>
      <c r="C208" s="11"/>
      <c r="D208" s="11"/>
      <c r="E208" s="11"/>
      <c r="F208" s="11"/>
    </row>
    <row r="209">
      <c r="B209" s="11"/>
      <c r="C209" s="11"/>
      <c r="D209" s="11"/>
      <c r="E209" s="11"/>
      <c r="F209" s="11"/>
    </row>
    <row r="210">
      <c r="B210" s="11"/>
      <c r="C210" s="11"/>
      <c r="D210" s="11"/>
      <c r="E210" s="11"/>
      <c r="F210" s="11"/>
    </row>
    <row r="211">
      <c r="B211" s="11"/>
      <c r="C211" s="11"/>
      <c r="D211" s="11"/>
      <c r="E211" s="11"/>
      <c r="F211" s="11"/>
    </row>
    <row r="212">
      <c r="B212" s="11"/>
      <c r="C212" s="11"/>
      <c r="D212" s="11"/>
      <c r="E212" s="11"/>
      <c r="F212" s="11"/>
    </row>
    <row r="213">
      <c r="B213" s="11"/>
      <c r="C213" s="11"/>
      <c r="D213" s="11"/>
      <c r="E213" s="11"/>
      <c r="F213" s="11"/>
    </row>
    <row r="214">
      <c r="B214" s="11"/>
      <c r="C214" s="11"/>
      <c r="D214" s="11"/>
      <c r="E214" s="11"/>
      <c r="F214" s="11"/>
    </row>
    <row r="215">
      <c r="B215" s="11"/>
      <c r="C215" s="11"/>
      <c r="D215" s="11"/>
      <c r="E215" s="11"/>
      <c r="F215" s="11"/>
    </row>
    <row r="216">
      <c r="B216" s="11"/>
      <c r="C216" s="11"/>
      <c r="D216" s="11"/>
      <c r="E216" s="11"/>
      <c r="F216" s="11"/>
    </row>
    <row r="217">
      <c r="B217" s="11"/>
      <c r="C217" s="11"/>
      <c r="D217" s="11"/>
      <c r="E217" s="11"/>
      <c r="F217" s="11"/>
    </row>
    <row r="218">
      <c r="B218" s="11"/>
      <c r="C218" s="11"/>
      <c r="D218" s="11"/>
      <c r="E218" s="11"/>
      <c r="F218" s="11"/>
    </row>
    <row r="219">
      <c r="B219" s="11"/>
      <c r="C219" s="11"/>
      <c r="D219" s="11"/>
      <c r="E219" s="11"/>
      <c r="F219" s="11"/>
    </row>
    <row r="220">
      <c r="B220" s="11"/>
      <c r="C220" s="11"/>
      <c r="D220" s="11"/>
      <c r="E220" s="11"/>
      <c r="F220" s="11"/>
    </row>
    <row r="221">
      <c r="B221" s="11"/>
      <c r="C221" s="11"/>
      <c r="D221" s="11"/>
      <c r="E221" s="11"/>
      <c r="F221" s="11"/>
    </row>
    <row r="222">
      <c r="B222" s="11"/>
      <c r="C222" s="11"/>
      <c r="D222" s="11"/>
      <c r="E222" s="11"/>
      <c r="F222" s="11"/>
    </row>
    <row r="223">
      <c r="B223" s="11"/>
      <c r="C223" s="11"/>
      <c r="D223" s="11"/>
      <c r="E223" s="11"/>
      <c r="F223" s="11"/>
    </row>
    <row r="224">
      <c r="B224" s="11"/>
      <c r="C224" s="11"/>
      <c r="D224" s="11"/>
      <c r="E224" s="11"/>
      <c r="F224" s="11"/>
    </row>
    <row r="225">
      <c r="B225" s="11"/>
      <c r="C225" s="11"/>
      <c r="D225" s="11"/>
      <c r="E225" s="11"/>
      <c r="F225" s="11"/>
    </row>
    <row r="226">
      <c r="B226" s="11"/>
      <c r="C226" s="11"/>
      <c r="D226" s="11"/>
      <c r="E226" s="11"/>
      <c r="F226" s="11"/>
    </row>
    <row r="227">
      <c r="B227" s="11"/>
      <c r="C227" s="11"/>
      <c r="D227" s="11"/>
      <c r="E227" s="11"/>
      <c r="F227" s="11"/>
    </row>
    <row r="228">
      <c r="B228" s="11"/>
      <c r="C228" s="11"/>
      <c r="D228" s="11"/>
      <c r="E228" s="11"/>
      <c r="F228" s="11"/>
    </row>
    <row r="229">
      <c r="B229" s="11"/>
      <c r="C229" s="11"/>
      <c r="D229" s="11"/>
      <c r="E229" s="11"/>
      <c r="F229" s="11"/>
    </row>
    <row r="230">
      <c r="B230" s="11"/>
      <c r="C230" s="11"/>
      <c r="D230" s="11"/>
      <c r="E230" s="11"/>
      <c r="F230" s="11"/>
    </row>
    <row r="231">
      <c r="B231" s="11"/>
      <c r="C231" s="11"/>
      <c r="D231" s="11"/>
      <c r="E231" s="11"/>
      <c r="F231" s="11"/>
    </row>
    <row r="232">
      <c r="B232" s="11"/>
      <c r="C232" s="11"/>
      <c r="D232" s="11"/>
      <c r="E232" s="11"/>
      <c r="F232" s="11"/>
    </row>
    <row r="233">
      <c r="B233" s="11"/>
      <c r="C233" s="11"/>
      <c r="D233" s="11"/>
      <c r="E233" s="11"/>
      <c r="F233" s="11"/>
    </row>
    <row r="234">
      <c r="B234" s="11"/>
      <c r="C234" s="11"/>
      <c r="D234" s="11"/>
      <c r="E234" s="11"/>
      <c r="F234" s="11"/>
    </row>
    <row r="235">
      <c r="B235" s="11"/>
      <c r="C235" s="11"/>
      <c r="D235" s="11"/>
      <c r="E235" s="11"/>
      <c r="F235" s="11"/>
    </row>
    <row r="236">
      <c r="B236" s="11"/>
      <c r="C236" s="11"/>
      <c r="D236" s="11"/>
      <c r="E236" s="11"/>
      <c r="F236" s="11"/>
    </row>
    <row r="237">
      <c r="B237" s="11"/>
      <c r="C237" s="11"/>
      <c r="D237" s="11"/>
      <c r="E237" s="11"/>
      <c r="F237" s="11"/>
    </row>
    <row r="238">
      <c r="B238" s="11"/>
      <c r="C238" s="11"/>
      <c r="D238" s="11"/>
      <c r="E238" s="11"/>
      <c r="F238" s="11"/>
    </row>
    <row r="239">
      <c r="B239" s="11"/>
      <c r="C239" s="11"/>
      <c r="D239" s="11"/>
      <c r="E239" s="11"/>
      <c r="F239" s="11"/>
    </row>
    <row r="240">
      <c r="B240" s="11"/>
      <c r="C240" s="11"/>
      <c r="D240" s="11"/>
      <c r="E240" s="11"/>
      <c r="F240" s="11"/>
    </row>
    <row r="241">
      <c r="B241" s="11"/>
      <c r="C241" s="11"/>
      <c r="D241" s="11"/>
      <c r="E241" s="11"/>
      <c r="F241" s="11"/>
    </row>
    <row r="242">
      <c r="B242" s="11"/>
      <c r="C242" s="11"/>
      <c r="D242" s="11"/>
      <c r="E242" s="11"/>
      <c r="F242" s="11"/>
    </row>
    <row r="243">
      <c r="B243" s="11"/>
      <c r="C243" s="11"/>
      <c r="D243" s="11"/>
      <c r="E243" s="11"/>
      <c r="F243" s="11"/>
    </row>
    <row r="244">
      <c r="B244" s="11"/>
      <c r="C244" s="11"/>
      <c r="D244" s="11"/>
      <c r="E244" s="11"/>
      <c r="F244" s="11"/>
    </row>
    <row r="245">
      <c r="B245" s="11"/>
      <c r="C245" s="11"/>
      <c r="D245" s="11"/>
      <c r="E245" s="11"/>
      <c r="F245" s="11"/>
    </row>
    <row r="246">
      <c r="B246" s="11"/>
      <c r="C246" s="11"/>
      <c r="D246" s="11"/>
      <c r="E246" s="11"/>
      <c r="F246" s="11"/>
    </row>
    <row r="247">
      <c r="B247" s="11"/>
      <c r="C247" s="11"/>
      <c r="D247" s="11"/>
      <c r="E247" s="11"/>
      <c r="F247" s="11"/>
    </row>
    <row r="248">
      <c r="B248" s="11"/>
      <c r="C248" s="11"/>
      <c r="D248" s="11"/>
      <c r="E248" s="11"/>
      <c r="F248" s="11"/>
    </row>
    <row r="249">
      <c r="B249" s="11"/>
      <c r="C249" s="11"/>
      <c r="D249" s="11"/>
      <c r="E249" s="11"/>
      <c r="F249" s="11"/>
    </row>
    <row r="250">
      <c r="B250" s="11"/>
      <c r="C250" s="11"/>
      <c r="D250" s="11"/>
      <c r="E250" s="11"/>
      <c r="F250" s="11"/>
    </row>
    <row r="251">
      <c r="B251" s="11"/>
      <c r="C251" s="11"/>
      <c r="D251" s="11"/>
      <c r="E251" s="11"/>
      <c r="F251" s="11"/>
    </row>
    <row r="252">
      <c r="B252" s="11"/>
      <c r="C252" s="11"/>
      <c r="D252" s="11"/>
      <c r="E252" s="11"/>
      <c r="F252" s="11"/>
    </row>
    <row r="253">
      <c r="B253" s="11"/>
      <c r="C253" s="11"/>
      <c r="D253" s="11"/>
      <c r="E253" s="11"/>
      <c r="F253" s="11"/>
    </row>
    <row r="254">
      <c r="B254" s="11"/>
      <c r="C254" s="11"/>
      <c r="D254" s="11"/>
      <c r="E254" s="11"/>
      <c r="F254" s="11"/>
    </row>
    <row r="255">
      <c r="B255" s="11"/>
      <c r="C255" s="11"/>
      <c r="D255" s="11"/>
      <c r="E255" s="11"/>
      <c r="F255" s="11"/>
    </row>
    <row r="256">
      <c r="B256" s="11"/>
      <c r="C256" s="11"/>
      <c r="D256" s="11"/>
      <c r="E256" s="11"/>
      <c r="F256" s="11"/>
    </row>
    <row r="257">
      <c r="B257" s="11"/>
      <c r="C257" s="11"/>
      <c r="D257" s="11"/>
      <c r="E257" s="11"/>
      <c r="F257" s="11"/>
    </row>
    <row r="258">
      <c r="B258" s="11"/>
      <c r="C258" s="11"/>
      <c r="D258" s="11"/>
      <c r="E258" s="11"/>
      <c r="F258" s="11"/>
    </row>
    <row r="259">
      <c r="B259" s="11"/>
      <c r="C259" s="11"/>
      <c r="D259" s="11"/>
      <c r="E259" s="11"/>
      <c r="F259" s="11"/>
    </row>
    <row r="260">
      <c r="B260" s="11"/>
      <c r="C260" s="11"/>
      <c r="D260" s="11"/>
      <c r="E260" s="11"/>
      <c r="F260" s="11"/>
    </row>
    <row r="261">
      <c r="B261" s="11"/>
      <c r="C261" s="11"/>
      <c r="D261" s="11"/>
      <c r="E261" s="11"/>
      <c r="F261" s="11"/>
    </row>
    <row r="262">
      <c r="B262" s="11"/>
      <c r="C262" s="11"/>
      <c r="D262" s="11"/>
      <c r="E262" s="11"/>
      <c r="F262" s="11"/>
    </row>
    <row r="263">
      <c r="B263" s="11"/>
      <c r="C263" s="11"/>
      <c r="D263" s="11"/>
      <c r="E263" s="11"/>
      <c r="F263" s="11"/>
    </row>
    <row r="264">
      <c r="B264" s="11"/>
      <c r="C264" s="11"/>
      <c r="D264" s="11"/>
      <c r="E264" s="11"/>
      <c r="F264" s="11"/>
    </row>
    <row r="265">
      <c r="B265" s="11"/>
      <c r="C265" s="11"/>
      <c r="D265" s="11"/>
      <c r="E265" s="11"/>
      <c r="F265" s="11"/>
    </row>
    <row r="266">
      <c r="B266" s="11"/>
      <c r="C266" s="11"/>
      <c r="D266" s="11"/>
      <c r="E266" s="11"/>
      <c r="F266" s="11"/>
    </row>
    <row r="267">
      <c r="B267" s="11"/>
      <c r="C267" s="11"/>
      <c r="D267" s="11"/>
      <c r="E267" s="11"/>
      <c r="F267" s="11"/>
    </row>
    <row r="268">
      <c r="B268" s="11"/>
      <c r="C268" s="11"/>
      <c r="D268" s="11"/>
      <c r="E268" s="11"/>
      <c r="F268" s="11"/>
    </row>
    <row r="269">
      <c r="B269" s="11"/>
      <c r="C269" s="11"/>
      <c r="D269" s="11"/>
      <c r="E269" s="11"/>
      <c r="F269" s="11"/>
    </row>
    <row r="270">
      <c r="B270" s="11"/>
      <c r="C270" s="11"/>
      <c r="D270" s="11"/>
      <c r="E270" s="11"/>
      <c r="F270" s="11"/>
    </row>
    <row r="271">
      <c r="B271" s="11"/>
      <c r="C271" s="11"/>
      <c r="D271" s="11"/>
      <c r="E271" s="11"/>
      <c r="F271" s="11"/>
    </row>
    <row r="272">
      <c r="B272" s="11"/>
      <c r="C272" s="11"/>
      <c r="D272" s="11"/>
      <c r="E272" s="11"/>
      <c r="F272" s="11"/>
    </row>
    <row r="273">
      <c r="B273" s="11"/>
      <c r="C273" s="11"/>
      <c r="D273" s="11"/>
      <c r="E273" s="11"/>
      <c r="F273" s="11"/>
    </row>
    <row r="274">
      <c r="B274" s="11"/>
      <c r="C274" s="11"/>
      <c r="D274" s="11"/>
      <c r="E274" s="11"/>
      <c r="F274" s="11"/>
    </row>
    <row r="275">
      <c r="B275" s="11"/>
      <c r="C275" s="11"/>
      <c r="D275" s="11"/>
      <c r="E275" s="11"/>
      <c r="F275" s="11"/>
    </row>
    <row r="276">
      <c r="B276" s="11"/>
      <c r="C276" s="11"/>
      <c r="D276" s="11"/>
      <c r="E276" s="11"/>
      <c r="F276" s="11"/>
    </row>
    <row r="277">
      <c r="B277" s="11"/>
      <c r="C277" s="11"/>
      <c r="D277" s="11"/>
      <c r="E277" s="11"/>
      <c r="F277" s="11"/>
    </row>
    <row r="278">
      <c r="B278" s="11"/>
      <c r="C278" s="11"/>
      <c r="D278" s="11"/>
      <c r="E278" s="11"/>
      <c r="F278" s="11"/>
    </row>
    <row r="279">
      <c r="B279" s="11"/>
      <c r="C279" s="11"/>
      <c r="D279" s="11"/>
      <c r="E279" s="11"/>
      <c r="F279" s="11"/>
    </row>
    <row r="280">
      <c r="B280" s="11"/>
      <c r="C280" s="11"/>
      <c r="D280" s="11"/>
      <c r="E280" s="11"/>
      <c r="F280" s="11"/>
    </row>
    <row r="281">
      <c r="B281" s="11"/>
      <c r="C281" s="11"/>
      <c r="D281" s="11"/>
      <c r="E281" s="11"/>
      <c r="F281" s="11"/>
    </row>
    <row r="282">
      <c r="B282" s="11"/>
      <c r="C282" s="11"/>
      <c r="D282" s="11"/>
      <c r="E282" s="11"/>
      <c r="F282" s="11"/>
    </row>
    <row r="283">
      <c r="B283" s="11"/>
      <c r="C283" s="11"/>
      <c r="D283" s="11"/>
      <c r="E283" s="11"/>
      <c r="F283" s="11"/>
    </row>
    <row r="284">
      <c r="B284" s="11"/>
      <c r="C284" s="11"/>
      <c r="D284" s="11"/>
      <c r="E284" s="11"/>
      <c r="F284" s="11"/>
    </row>
    <row r="285">
      <c r="B285" s="11"/>
      <c r="C285" s="11"/>
      <c r="D285" s="11"/>
      <c r="E285" s="11"/>
      <c r="F285" s="11"/>
    </row>
    <row r="286">
      <c r="B286" s="11"/>
      <c r="C286" s="11"/>
      <c r="D286" s="11"/>
      <c r="E286" s="11"/>
      <c r="F286" s="11"/>
    </row>
    <row r="287">
      <c r="B287" s="11"/>
      <c r="C287" s="11"/>
      <c r="D287" s="11"/>
      <c r="E287" s="11"/>
      <c r="F287" s="11"/>
    </row>
    <row r="288">
      <c r="B288" s="11"/>
      <c r="C288" s="11"/>
      <c r="D288" s="11"/>
      <c r="E288" s="11"/>
      <c r="F288" s="11"/>
    </row>
    <row r="289">
      <c r="B289" s="11"/>
      <c r="C289" s="11"/>
      <c r="D289" s="11"/>
      <c r="E289" s="11"/>
      <c r="F289" s="11"/>
    </row>
    <row r="290">
      <c r="B290" s="11"/>
      <c r="C290" s="11"/>
      <c r="D290" s="11"/>
      <c r="E290" s="11"/>
      <c r="F290" s="11"/>
    </row>
    <row r="291">
      <c r="B291" s="11"/>
      <c r="C291" s="11"/>
      <c r="D291" s="11"/>
      <c r="E291" s="11"/>
      <c r="F291" s="11"/>
    </row>
    <row r="292">
      <c r="B292" s="11"/>
      <c r="C292" s="11"/>
      <c r="D292" s="11"/>
      <c r="E292" s="11"/>
      <c r="F292" s="11"/>
    </row>
    <row r="293">
      <c r="B293" s="11"/>
      <c r="C293" s="11"/>
      <c r="D293" s="11"/>
      <c r="E293" s="11"/>
      <c r="F293" s="11"/>
    </row>
    <row r="294">
      <c r="B294" s="11"/>
      <c r="C294" s="11"/>
      <c r="D294" s="11"/>
      <c r="E294" s="11"/>
      <c r="F294" s="11"/>
    </row>
    <row r="295">
      <c r="B295" s="11"/>
      <c r="C295" s="11"/>
      <c r="D295" s="11"/>
      <c r="E295" s="11"/>
      <c r="F295" s="11"/>
    </row>
    <row r="296">
      <c r="B296" s="11"/>
      <c r="C296" s="11"/>
      <c r="D296" s="11"/>
      <c r="E296" s="11"/>
      <c r="F296" s="11"/>
    </row>
    <row r="297">
      <c r="B297" s="11"/>
      <c r="C297" s="11"/>
      <c r="D297" s="11"/>
      <c r="E297" s="11"/>
      <c r="F297" s="11"/>
    </row>
    <row r="298">
      <c r="B298" s="11"/>
      <c r="C298" s="11"/>
      <c r="D298" s="11"/>
      <c r="E298" s="11"/>
      <c r="F298" s="11"/>
    </row>
    <row r="299">
      <c r="B299" s="11"/>
      <c r="C299" s="11"/>
      <c r="D299" s="11"/>
      <c r="E299" s="11"/>
      <c r="F299" s="11"/>
    </row>
    <row r="300">
      <c r="B300" s="11"/>
      <c r="C300" s="11"/>
      <c r="D300" s="11"/>
      <c r="E300" s="11"/>
      <c r="F300" s="11"/>
    </row>
    <row r="301">
      <c r="B301" s="11"/>
      <c r="C301" s="11"/>
      <c r="D301" s="11"/>
      <c r="E301" s="11"/>
      <c r="F301" s="11"/>
    </row>
    <row r="302">
      <c r="B302" s="11"/>
      <c r="C302" s="11"/>
      <c r="D302" s="11"/>
      <c r="E302" s="11"/>
      <c r="F302" s="11"/>
    </row>
    <row r="303">
      <c r="B303" s="11"/>
      <c r="C303" s="11"/>
      <c r="D303" s="11"/>
      <c r="E303" s="11"/>
      <c r="F303" s="11"/>
    </row>
    <row r="304">
      <c r="B304" s="11"/>
      <c r="C304" s="11"/>
      <c r="D304" s="11"/>
      <c r="E304" s="11"/>
      <c r="F304" s="11"/>
    </row>
    <row r="305">
      <c r="B305" s="11"/>
      <c r="C305" s="11"/>
      <c r="D305" s="11"/>
      <c r="E305" s="11"/>
      <c r="F305" s="11"/>
    </row>
    <row r="306">
      <c r="B306" s="11"/>
      <c r="C306" s="11"/>
      <c r="D306" s="11"/>
      <c r="E306" s="11"/>
      <c r="F306" s="11"/>
    </row>
    <row r="307">
      <c r="B307" s="11"/>
      <c r="C307" s="11"/>
      <c r="D307" s="11"/>
      <c r="E307" s="11"/>
      <c r="F307" s="11"/>
    </row>
    <row r="308">
      <c r="B308" s="11"/>
      <c r="C308" s="11"/>
      <c r="D308" s="11"/>
      <c r="E308" s="11"/>
      <c r="F308" s="11"/>
    </row>
    <row r="309">
      <c r="B309" s="11"/>
      <c r="C309" s="11"/>
      <c r="D309" s="11"/>
      <c r="E309" s="11"/>
      <c r="F309" s="11"/>
    </row>
    <row r="310">
      <c r="B310" s="11"/>
      <c r="C310" s="11"/>
      <c r="D310" s="11"/>
      <c r="E310" s="11"/>
      <c r="F310" s="11"/>
    </row>
    <row r="311">
      <c r="B311" s="11"/>
      <c r="C311" s="11"/>
      <c r="D311" s="11"/>
      <c r="E311" s="11"/>
      <c r="F311" s="11"/>
    </row>
    <row r="312">
      <c r="B312" s="11"/>
      <c r="C312" s="11"/>
      <c r="D312" s="11"/>
      <c r="E312" s="11"/>
      <c r="F312" s="11"/>
    </row>
    <row r="313">
      <c r="B313" s="11"/>
      <c r="C313" s="11"/>
      <c r="D313" s="11"/>
      <c r="E313" s="11"/>
      <c r="F313" s="11"/>
    </row>
    <row r="314">
      <c r="B314" s="11"/>
      <c r="C314" s="11"/>
      <c r="D314" s="11"/>
      <c r="E314" s="11"/>
      <c r="F314" s="11"/>
    </row>
    <row r="315">
      <c r="B315" s="11"/>
      <c r="C315" s="11"/>
      <c r="D315" s="11"/>
      <c r="E315" s="11"/>
      <c r="F315" s="11"/>
    </row>
    <row r="316">
      <c r="B316" s="11"/>
      <c r="C316" s="11"/>
      <c r="D316" s="11"/>
      <c r="E316" s="11"/>
      <c r="F316" s="11"/>
    </row>
    <row r="317">
      <c r="B317" s="11"/>
      <c r="C317" s="11"/>
      <c r="D317" s="11"/>
      <c r="E317" s="11"/>
      <c r="F317" s="11"/>
    </row>
    <row r="318">
      <c r="B318" s="11"/>
      <c r="C318" s="11"/>
      <c r="D318" s="11"/>
      <c r="E318" s="11"/>
      <c r="F318" s="11"/>
    </row>
    <row r="319">
      <c r="B319" s="11"/>
      <c r="C319" s="11"/>
      <c r="D319" s="11"/>
      <c r="E319" s="11"/>
      <c r="F319" s="11"/>
    </row>
    <row r="320">
      <c r="B320" s="11"/>
      <c r="C320" s="11"/>
      <c r="D320" s="11"/>
      <c r="E320" s="11"/>
      <c r="F320" s="11"/>
    </row>
    <row r="321">
      <c r="B321" s="11"/>
      <c r="C321" s="11"/>
      <c r="D321" s="11"/>
      <c r="E321" s="11"/>
      <c r="F321" s="11"/>
    </row>
    <row r="322">
      <c r="B322" s="11"/>
      <c r="C322" s="11"/>
      <c r="D322" s="11"/>
      <c r="E322" s="11"/>
      <c r="F322" s="11"/>
    </row>
    <row r="323">
      <c r="B323" s="11"/>
      <c r="C323" s="11"/>
      <c r="D323" s="11"/>
      <c r="E323" s="11"/>
      <c r="F323" s="11"/>
    </row>
    <row r="324">
      <c r="B324" s="11"/>
      <c r="C324" s="11"/>
      <c r="D324" s="11"/>
      <c r="E324" s="11"/>
      <c r="F324" s="11"/>
    </row>
    <row r="325">
      <c r="B325" s="11"/>
      <c r="C325" s="11"/>
      <c r="D325" s="11"/>
      <c r="E325" s="11"/>
      <c r="F325" s="11"/>
    </row>
    <row r="326">
      <c r="B326" s="11"/>
      <c r="C326" s="11"/>
      <c r="D326" s="11"/>
      <c r="E326" s="11"/>
      <c r="F326" s="11"/>
    </row>
    <row r="327">
      <c r="B327" s="11"/>
      <c r="C327" s="11"/>
      <c r="D327" s="11"/>
      <c r="E327" s="11"/>
      <c r="F327" s="11"/>
    </row>
    <row r="328">
      <c r="B328" s="11"/>
      <c r="C328" s="11"/>
      <c r="D328" s="11"/>
      <c r="E328" s="11"/>
      <c r="F328" s="11"/>
    </row>
    <row r="329">
      <c r="B329" s="11"/>
      <c r="C329" s="11"/>
      <c r="D329" s="11"/>
      <c r="E329" s="11"/>
      <c r="F329" s="11"/>
    </row>
    <row r="330">
      <c r="B330" s="11"/>
      <c r="C330" s="11"/>
      <c r="D330" s="11"/>
      <c r="E330" s="11"/>
      <c r="F330" s="11"/>
    </row>
    <row r="331">
      <c r="B331" s="11"/>
      <c r="C331" s="11"/>
      <c r="D331" s="11"/>
      <c r="E331" s="11"/>
      <c r="F331" s="11"/>
    </row>
    <row r="332">
      <c r="B332" s="11"/>
      <c r="C332" s="11"/>
      <c r="D332" s="11"/>
      <c r="E332" s="11"/>
      <c r="F332" s="11"/>
    </row>
    <row r="333">
      <c r="B333" s="11"/>
      <c r="C333" s="11"/>
      <c r="D333" s="11"/>
      <c r="E333" s="11"/>
      <c r="F333" s="11"/>
    </row>
    <row r="334">
      <c r="B334" s="11"/>
      <c r="C334" s="11"/>
      <c r="D334" s="11"/>
      <c r="E334" s="11"/>
      <c r="F334" s="11"/>
    </row>
    <row r="335">
      <c r="B335" s="11"/>
      <c r="C335" s="11"/>
      <c r="D335" s="11"/>
      <c r="E335" s="11"/>
      <c r="F335" s="11"/>
    </row>
    <row r="336">
      <c r="B336" s="11"/>
      <c r="C336" s="11"/>
      <c r="D336" s="11"/>
      <c r="E336" s="11"/>
      <c r="F336" s="11"/>
    </row>
    <row r="337">
      <c r="B337" s="11"/>
      <c r="C337" s="11"/>
      <c r="D337" s="11"/>
      <c r="E337" s="11"/>
      <c r="F337" s="11"/>
    </row>
    <row r="338">
      <c r="B338" s="11"/>
      <c r="C338" s="11"/>
      <c r="D338" s="11"/>
      <c r="E338" s="11"/>
      <c r="F338" s="11"/>
    </row>
    <row r="339">
      <c r="B339" s="11"/>
      <c r="C339" s="11"/>
      <c r="D339" s="11"/>
      <c r="E339" s="11"/>
      <c r="F339" s="11"/>
    </row>
    <row r="340">
      <c r="B340" s="11"/>
      <c r="C340" s="11"/>
      <c r="D340" s="11"/>
      <c r="E340" s="11"/>
      <c r="F340" s="11"/>
    </row>
    <row r="341">
      <c r="B341" s="11"/>
      <c r="C341" s="11"/>
      <c r="D341" s="11"/>
      <c r="E341" s="11"/>
      <c r="F341" s="11"/>
    </row>
    <row r="342">
      <c r="B342" s="11"/>
      <c r="C342" s="11"/>
      <c r="D342" s="11"/>
      <c r="E342" s="11"/>
      <c r="F342" s="11"/>
    </row>
    <row r="343">
      <c r="B343" s="11"/>
      <c r="C343" s="11"/>
      <c r="D343" s="11"/>
      <c r="E343" s="11"/>
      <c r="F343" s="11"/>
    </row>
    <row r="344">
      <c r="B344" s="11"/>
      <c r="C344" s="11"/>
      <c r="D344" s="11"/>
      <c r="E344" s="11"/>
      <c r="F344" s="11"/>
    </row>
    <row r="345">
      <c r="B345" s="11"/>
      <c r="C345" s="11"/>
      <c r="D345" s="11"/>
      <c r="E345" s="11"/>
      <c r="F345" s="11"/>
    </row>
    <row r="346">
      <c r="B346" s="11"/>
      <c r="C346" s="11"/>
      <c r="D346" s="11"/>
      <c r="E346" s="11"/>
      <c r="F346" s="11"/>
    </row>
    <row r="347">
      <c r="B347" s="11"/>
      <c r="C347" s="11"/>
      <c r="D347" s="11"/>
      <c r="E347" s="11"/>
      <c r="F347" s="11"/>
    </row>
    <row r="348">
      <c r="B348" s="11"/>
      <c r="C348" s="11"/>
      <c r="D348" s="11"/>
      <c r="E348" s="11"/>
      <c r="F348" s="11"/>
    </row>
    <row r="349">
      <c r="B349" s="11"/>
      <c r="C349" s="11"/>
      <c r="D349" s="11"/>
      <c r="E349" s="11"/>
      <c r="F349" s="11"/>
    </row>
    <row r="350">
      <c r="B350" s="11"/>
      <c r="C350" s="11"/>
      <c r="D350" s="11"/>
      <c r="E350" s="11"/>
      <c r="F350" s="11"/>
    </row>
    <row r="351">
      <c r="B351" s="11"/>
      <c r="C351" s="11"/>
      <c r="D351" s="11"/>
      <c r="E351" s="11"/>
      <c r="F351" s="11"/>
    </row>
    <row r="352">
      <c r="B352" s="11"/>
      <c r="C352" s="11"/>
      <c r="D352" s="11"/>
      <c r="E352" s="11"/>
      <c r="F352" s="11"/>
    </row>
    <row r="353">
      <c r="B353" s="11"/>
      <c r="C353" s="11"/>
      <c r="D353" s="11"/>
      <c r="E353" s="11"/>
      <c r="F353" s="11"/>
    </row>
    <row r="354">
      <c r="B354" s="11"/>
      <c r="C354" s="11"/>
      <c r="D354" s="11"/>
      <c r="E354" s="11"/>
      <c r="F354" s="11"/>
    </row>
    <row r="355">
      <c r="B355" s="11"/>
      <c r="C355" s="11"/>
      <c r="D355" s="11"/>
      <c r="E355" s="11"/>
      <c r="F355" s="11"/>
    </row>
    <row r="356">
      <c r="B356" s="11"/>
      <c r="C356" s="11"/>
      <c r="D356" s="11"/>
      <c r="E356" s="11"/>
      <c r="F356" s="11"/>
    </row>
    <row r="357">
      <c r="B357" s="11"/>
      <c r="C357" s="11"/>
      <c r="D357" s="11"/>
      <c r="E357" s="11"/>
      <c r="F357" s="11"/>
    </row>
    <row r="358">
      <c r="B358" s="11"/>
      <c r="C358" s="11"/>
      <c r="D358" s="11"/>
      <c r="E358" s="11"/>
      <c r="F358" s="11"/>
    </row>
    <row r="359">
      <c r="B359" s="11"/>
      <c r="C359" s="11"/>
      <c r="D359" s="11"/>
      <c r="E359" s="11"/>
      <c r="F359" s="11"/>
    </row>
    <row r="360">
      <c r="B360" s="11"/>
      <c r="C360" s="11"/>
      <c r="D360" s="11"/>
      <c r="E360" s="11"/>
      <c r="F360" s="11"/>
    </row>
    <row r="361">
      <c r="B361" s="11"/>
      <c r="C361" s="11"/>
      <c r="D361" s="11"/>
      <c r="E361" s="11"/>
      <c r="F361" s="11"/>
    </row>
    <row r="362">
      <c r="B362" s="11"/>
      <c r="C362" s="11"/>
      <c r="D362" s="11"/>
      <c r="E362" s="11"/>
      <c r="F362" s="11"/>
    </row>
    <row r="363">
      <c r="B363" s="11"/>
      <c r="C363" s="11"/>
      <c r="D363" s="11"/>
      <c r="E363" s="11"/>
      <c r="F363" s="11"/>
    </row>
    <row r="364">
      <c r="B364" s="11"/>
      <c r="C364" s="11"/>
      <c r="D364" s="11"/>
      <c r="E364" s="11"/>
      <c r="F364" s="11"/>
    </row>
    <row r="365">
      <c r="B365" s="11"/>
      <c r="C365" s="11"/>
      <c r="D365" s="11"/>
      <c r="E365" s="11"/>
      <c r="F365" s="11"/>
    </row>
    <row r="366">
      <c r="B366" s="11"/>
      <c r="C366" s="11"/>
      <c r="D366" s="11"/>
      <c r="E366" s="11"/>
      <c r="F366" s="11"/>
    </row>
    <row r="367">
      <c r="B367" s="11"/>
      <c r="C367" s="11"/>
      <c r="D367" s="11"/>
      <c r="E367" s="11"/>
      <c r="F367" s="11"/>
    </row>
    <row r="368">
      <c r="B368" s="11"/>
      <c r="C368" s="11"/>
      <c r="D368" s="11"/>
      <c r="E368" s="11"/>
      <c r="F368" s="11"/>
    </row>
    <row r="369">
      <c r="B369" s="11"/>
      <c r="C369" s="11"/>
      <c r="D369" s="11"/>
      <c r="E369" s="11"/>
      <c r="F369" s="11"/>
    </row>
    <row r="370">
      <c r="B370" s="11"/>
      <c r="C370" s="11"/>
      <c r="D370" s="11"/>
      <c r="E370" s="11"/>
      <c r="F370" s="11"/>
    </row>
    <row r="371">
      <c r="B371" s="11"/>
      <c r="C371" s="11"/>
      <c r="D371" s="11"/>
      <c r="E371" s="11"/>
      <c r="F371" s="11"/>
    </row>
    <row r="372">
      <c r="B372" s="11"/>
      <c r="C372" s="11"/>
      <c r="D372" s="11"/>
      <c r="E372" s="11"/>
      <c r="F372" s="11"/>
    </row>
    <row r="373">
      <c r="B373" s="11"/>
      <c r="C373" s="11"/>
      <c r="D373" s="11"/>
      <c r="E373" s="11"/>
      <c r="F373" s="11"/>
    </row>
    <row r="374">
      <c r="B374" s="11"/>
      <c r="C374" s="11"/>
      <c r="D374" s="11"/>
      <c r="E374" s="11"/>
      <c r="F374" s="11"/>
    </row>
    <row r="375">
      <c r="B375" s="11"/>
      <c r="C375" s="11"/>
      <c r="D375" s="11"/>
      <c r="E375" s="11"/>
      <c r="F375" s="11"/>
    </row>
    <row r="376">
      <c r="B376" s="11"/>
      <c r="C376" s="11"/>
      <c r="D376" s="11"/>
      <c r="E376" s="11"/>
      <c r="F376" s="11"/>
    </row>
    <row r="377">
      <c r="B377" s="11"/>
      <c r="C377" s="11"/>
      <c r="D377" s="11"/>
      <c r="E377" s="11"/>
      <c r="F377" s="11"/>
    </row>
    <row r="378">
      <c r="B378" s="11"/>
      <c r="C378" s="11"/>
      <c r="D378" s="11"/>
      <c r="E378" s="11"/>
      <c r="F378" s="11"/>
    </row>
    <row r="379">
      <c r="B379" s="11"/>
      <c r="C379" s="11"/>
      <c r="D379" s="11"/>
      <c r="E379" s="11"/>
      <c r="F379" s="11"/>
    </row>
    <row r="380">
      <c r="B380" s="11"/>
      <c r="C380" s="11"/>
      <c r="D380" s="11"/>
      <c r="E380" s="11"/>
      <c r="F380" s="11"/>
    </row>
    <row r="381">
      <c r="B381" s="11"/>
      <c r="C381" s="11"/>
      <c r="D381" s="11"/>
      <c r="E381" s="11"/>
      <c r="F381" s="11"/>
    </row>
    <row r="382">
      <c r="B382" s="11"/>
      <c r="C382" s="11"/>
      <c r="D382" s="11"/>
      <c r="E382" s="11"/>
      <c r="F382" s="11"/>
    </row>
    <row r="383">
      <c r="B383" s="11"/>
      <c r="C383" s="11"/>
      <c r="D383" s="11"/>
      <c r="E383" s="11"/>
      <c r="F383" s="11"/>
    </row>
    <row r="384">
      <c r="B384" s="11"/>
      <c r="C384" s="11"/>
      <c r="D384" s="11"/>
      <c r="E384" s="11"/>
      <c r="F384" s="11"/>
    </row>
    <row r="385">
      <c r="B385" s="11"/>
      <c r="C385" s="11"/>
      <c r="D385" s="11"/>
      <c r="E385" s="11"/>
      <c r="F385" s="11"/>
    </row>
    <row r="386">
      <c r="B386" s="11"/>
      <c r="C386" s="11"/>
      <c r="D386" s="11"/>
      <c r="E386" s="11"/>
      <c r="F386" s="11"/>
    </row>
    <row r="387">
      <c r="B387" s="11"/>
      <c r="C387" s="11"/>
      <c r="D387" s="11"/>
      <c r="E387" s="11"/>
      <c r="F387" s="11"/>
    </row>
    <row r="388">
      <c r="B388" s="11"/>
      <c r="C388" s="11"/>
      <c r="D388" s="11"/>
      <c r="E388" s="11"/>
      <c r="F388" s="11"/>
    </row>
    <row r="389">
      <c r="B389" s="11"/>
      <c r="C389" s="11"/>
      <c r="D389" s="11"/>
      <c r="E389" s="11"/>
      <c r="F389" s="11"/>
    </row>
    <row r="390">
      <c r="B390" s="11"/>
      <c r="C390" s="11"/>
      <c r="D390" s="11"/>
      <c r="E390" s="11"/>
      <c r="F390" s="11"/>
    </row>
    <row r="391">
      <c r="B391" s="11"/>
      <c r="C391" s="11"/>
      <c r="D391" s="11"/>
      <c r="E391" s="11"/>
      <c r="F391" s="11"/>
    </row>
    <row r="392">
      <c r="B392" s="11"/>
      <c r="C392" s="11"/>
      <c r="D392" s="11"/>
      <c r="E392" s="11"/>
      <c r="F392" s="11"/>
    </row>
    <row r="393">
      <c r="B393" s="11"/>
      <c r="C393" s="11"/>
      <c r="D393" s="11"/>
      <c r="E393" s="11"/>
      <c r="F393" s="11"/>
    </row>
    <row r="394">
      <c r="B394" s="11"/>
      <c r="C394" s="11"/>
      <c r="D394" s="11"/>
      <c r="E394" s="11"/>
      <c r="F394" s="11"/>
    </row>
    <row r="395">
      <c r="B395" s="11"/>
      <c r="C395" s="11"/>
      <c r="D395" s="11"/>
      <c r="E395" s="11"/>
      <c r="F395" s="11"/>
    </row>
    <row r="396">
      <c r="B396" s="11"/>
      <c r="C396" s="11"/>
      <c r="D396" s="11"/>
      <c r="E396" s="11"/>
      <c r="F396" s="11"/>
    </row>
    <row r="397">
      <c r="B397" s="11"/>
      <c r="C397" s="11"/>
      <c r="D397" s="11"/>
      <c r="E397" s="11"/>
      <c r="F397" s="11"/>
    </row>
    <row r="398">
      <c r="B398" s="11"/>
      <c r="C398" s="11"/>
      <c r="D398" s="11"/>
      <c r="E398" s="11"/>
      <c r="F398" s="11"/>
    </row>
    <row r="399">
      <c r="B399" s="11"/>
      <c r="C399" s="11"/>
      <c r="D399" s="11"/>
      <c r="E399" s="11"/>
      <c r="F399" s="11"/>
    </row>
    <row r="400">
      <c r="B400" s="11"/>
      <c r="C400" s="11"/>
      <c r="D400" s="11"/>
      <c r="E400" s="11"/>
      <c r="F400" s="11"/>
    </row>
    <row r="401">
      <c r="B401" s="11"/>
      <c r="C401" s="11"/>
      <c r="D401" s="11"/>
      <c r="E401" s="11"/>
      <c r="F401" s="11"/>
    </row>
    <row r="402">
      <c r="B402" s="11"/>
      <c r="C402" s="11"/>
      <c r="D402" s="11"/>
      <c r="E402" s="11"/>
      <c r="F402" s="11"/>
    </row>
    <row r="403">
      <c r="B403" s="11"/>
      <c r="C403" s="11"/>
      <c r="D403" s="11"/>
      <c r="E403" s="11"/>
      <c r="F403" s="11"/>
    </row>
    <row r="404">
      <c r="B404" s="11"/>
      <c r="C404" s="11"/>
      <c r="D404" s="11"/>
      <c r="E404" s="11"/>
      <c r="F404" s="11"/>
    </row>
    <row r="405">
      <c r="B405" s="11"/>
      <c r="C405" s="11"/>
      <c r="D405" s="11"/>
      <c r="E405" s="11"/>
      <c r="F405" s="11"/>
    </row>
    <row r="406">
      <c r="B406" s="11"/>
      <c r="C406" s="11"/>
      <c r="D406" s="11"/>
      <c r="E406" s="11"/>
      <c r="F406" s="11"/>
    </row>
    <row r="407">
      <c r="B407" s="11"/>
      <c r="C407" s="11"/>
      <c r="D407" s="11"/>
      <c r="E407" s="11"/>
      <c r="F407" s="11"/>
    </row>
    <row r="408">
      <c r="B408" s="11"/>
      <c r="C408" s="11"/>
      <c r="D408" s="11"/>
      <c r="E408" s="11"/>
      <c r="F408" s="11"/>
    </row>
    <row r="409">
      <c r="B409" s="11"/>
      <c r="C409" s="11"/>
      <c r="D409" s="11"/>
      <c r="E409" s="11"/>
      <c r="F409" s="11"/>
    </row>
    <row r="410">
      <c r="B410" s="11"/>
      <c r="C410" s="11"/>
      <c r="D410" s="11"/>
      <c r="E410" s="11"/>
      <c r="F410" s="11"/>
    </row>
    <row r="411">
      <c r="B411" s="11"/>
      <c r="C411" s="11"/>
      <c r="D411" s="11"/>
      <c r="E411" s="11"/>
      <c r="F411" s="11"/>
    </row>
    <row r="412">
      <c r="B412" s="11"/>
      <c r="C412" s="11"/>
      <c r="D412" s="11"/>
      <c r="E412" s="11"/>
      <c r="F412" s="11"/>
    </row>
    <row r="413">
      <c r="B413" s="11"/>
      <c r="C413" s="11"/>
      <c r="D413" s="11"/>
      <c r="E413" s="11"/>
      <c r="F413" s="11"/>
    </row>
    <row r="414">
      <c r="B414" s="11"/>
      <c r="C414" s="11"/>
      <c r="D414" s="11"/>
      <c r="E414" s="11"/>
      <c r="F414" s="11"/>
    </row>
    <row r="415">
      <c r="B415" s="11"/>
      <c r="C415" s="11"/>
      <c r="D415" s="11"/>
      <c r="E415" s="11"/>
      <c r="F415" s="11"/>
    </row>
    <row r="416">
      <c r="B416" s="11"/>
      <c r="C416" s="11"/>
      <c r="D416" s="11"/>
      <c r="E416" s="11"/>
      <c r="F416" s="11"/>
    </row>
    <row r="417">
      <c r="B417" s="11"/>
      <c r="C417" s="11"/>
      <c r="D417" s="11"/>
      <c r="E417" s="11"/>
      <c r="F417" s="11"/>
    </row>
    <row r="418">
      <c r="B418" s="11"/>
      <c r="C418" s="11"/>
      <c r="D418" s="11"/>
      <c r="E418" s="11"/>
      <c r="F418" s="11"/>
    </row>
    <row r="419">
      <c r="B419" s="11"/>
      <c r="C419" s="11"/>
      <c r="D419" s="11"/>
      <c r="E419" s="11"/>
      <c r="F419" s="11"/>
    </row>
    <row r="420">
      <c r="B420" s="11"/>
      <c r="C420" s="11"/>
      <c r="D420" s="11"/>
      <c r="E420" s="11"/>
      <c r="F420" s="11"/>
    </row>
    <row r="421">
      <c r="B421" s="11"/>
      <c r="C421" s="11"/>
      <c r="D421" s="11"/>
      <c r="E421" s="11"/>
      <c r="F421" s="11"/>
    </row>
    <row r="422">
      <c r="B422" s="11"/>
      <c r="C422" s="11"/>
      <c r="D422" s="11"/>
      <c r="E422" s="11"/>
      <c r="F422" s="11"/>
    </row>
    <row r="423">
      <c r="B423" s="11"/>
      <c r="C423" s="11"/>
      <c r="D423" s="11"/>
      <c r="E423" s="11"/>
      <c r="F423" s="11"/>
    </row>
    <row r="424">
      <c r="B424" s="11"/>
      <c r="C424" s="11"/>
      <c r="D424" s="11"/>
      <c r="E424" s="11"/>
      <c r="F424" s="11"/>
    </row>
    <row r="425">
      <c r="B425" s="11"/>
      <c r="C425" s="11"/>
      <c r="D425" s="11"/>
      <c r="E425" s="11"/>
      <c r="F425" s="11"/>
    </row>
    <row r="426">
      <c r="B426" s="11"/>
      <c r="C426" s="11"/>
      <c r="D426" s="11"/>
      <c r="E426" s="11"/>
      <c r="F426" s="11"/>
    </row>
    <row r="427">
      <c r="B427" s="11"/>
      <c r="C427" s="11"/>
      <c r="D427" s="11"/>
      <c r="E427" s="11"/>
      <c r="F427" s="11"/>
    </row>
    <row r="428">
      <c r="B428" s="11"/>
      <c r="C428" s="11"/>
      <c r="D428" s="11"/>
      <c r="E428" s="11"/>
      <c r="F428" s="11"/>
    </row>
    <row r="429">
      <c r="B429" s="11"/>
      <c r="C429" s="11"/>
      <c r="D429" s="11"/>
      <c r="E429" s="11"/>
      <c r="F429" s="11"/>
    </row>
    <row r="430">
      <c r="B430" s="11"/>
      <c r="C430" s="11"/>
      <c r="D430" s="11"/>
      <c r="E430" s="11"/>
      <c r="F430" s="11"/>
    </row>
    <row r="431">
      <c r="B431" s="11"/>
      <c r="C431" s="11"/>
      <c r="D431" s="11"/>
      <c r="E431" s="11"/>
      <c r="F431" s="11"/>
    </row>
    <row r="432">
      <c r="B432" s="11"/>
      <c r="C432" s="11"/>
      <c r="D432" s="11"/>
      <c r="E432" s="11"/>
      <c r="F432" s="11"/>
    </row>
    <row r="433">
      <c r="B433" s="11"/>
      <c r="C433" s="11"/>
      <c r="D433" s="11"/>
      <c r="E433" s="11"/>
      <c r="F433" s="11"/>
    </row>
    <row r="434">
      <c r="B434" s="11"/>
      <c r="C434" s="11"/>
      <c r="D434" s="11"/>
      <c r="E434" s="11"/>
      <c r="F434" s="11"/>
    </row>
    <row r="435">
      <c r="B435" s="11"/>
      <c r="C435" s="11"/>
      <c r="D435" s="11"/>
      <c r="E435" s="11"/>
      <c r="F435" s="11"/>
    </row>
    <row r="436">
      <c r="B436" s="11"/>
      <c r="C436" s="11"/>
      <c r="D436" s="11"/>
      <c r="E436" s="11"/>
      <c r="F436" s="11"/>
    </row>
    <row r="437">
      <c r="B437" s="11"/>
      <c r="C437" s="11"/>
      <c r="D437" s="11"/>
      <c r="E437" s="11"/>
      <c r="F437" s="11"/>
    </row>
    <row r="438">
      <c r="B438" s="11"/>
      <c r="C438" s="11"/>
      <c r="D438" s="11"/>
      <c r="E438" s="11"/>
      <c r="F438" s="11"/>
    </row>
    <row r="439">
      <c r="B439" s="11"/>
      <c r="C439" s="11"/>
      <c r="D439" s="11"/>
      <c r="E439" s="11"/>
      <c r="F439" s="11"/>
    </row>
    <row r="440">
      <c r="B440" s="11"/>
      <c r="C440" s="11"/>
      <c r="D440" s="11"/>
      <c r="E440" s="11"/>
      <c r="F440" s="11"/>
    </row>
    <row r="441">
      <c r="B441" s="11"/>
      <c r="C441" s="11"/>
      <c r="D441" s="11"/>
      <c r="E441" s="11"/>
      <c r="F441" s="11"/>
    </row>
    <row r="442">
      <c r="B442" s="11"/>
      <c r="C442" s="11"/>
      <c r="D442" s="11"/>
      <c r="E442" s="11"/>
      <c r="F442" s="11"/>
    </row>
    <row r="443">
      <c r="B443" s="11"/>
      <c r="C443" s="11"/>
      <c r="D443" s="11"/>
      <c r="E443" s="11"/>
      <c r="F443" s="11"/>
    </row>
    <row r="444">
      <c r="B444" s="11"/>
      <c r="C444" s="11"/>
      <c r="D444" s="11"/>
      <c r="E444" s="11"/>
      <c r="F444" s="11"/>
    </row>
    <row r="445">
      <c r="B445" s="11"/>
      <c r="C445" s="11"/>
      <c r="D445" s="11"/>
      <c r="E445" s="11"/>
      <c r="F445" s="11"/>
    </row>
    <row r="446">
      <c r="B446" s="11"/>
      <c r="C446" s="11"/>
      <c r="D446" s="11"/>
      <c r="E446" s="11"/>
      <c r="F446" s="11"/>
    </row>
    <row r="447">
      <c r="B447" s="11"/>
      <c r="C447" s="11"/>
      <c r="D447" s="11"/>
      <c r="E447" s="11"/>
      <c r="F447" s="11"/>
    </row>
    <row r="448">
      <c r="B448" s="11"/>
      <c r="C448" s="11"/>
      <c r="D448" s="11"/>
      <c r="E448" s="11"/>
      <c r="F448" s="11"/>
    </row>
    <row r="449">
      <c r="B449" s="11"/>
      <c r="C449" s="11"/>
      <c r="D449" s="11"/>
      <c r="E449" s="11"/>
      <c r="F449" s="11"/>
    </row>
    <row r="450">
      <c r="B450" s="11"/>
      <c r="C450" s="11"/>
      <c r="D450" s="11"/>
      <c r="E450" s="11"/>
      <c r="F450" s="11"/>
    </row>
    <row r="451">
      <c r="B451" s="11"/>
      <c r="C451" s="11"/>
      <c r="D451" s="11"/>
      <c r="E451" s="11"/>
      <c r="F451" s="11"/>
    </row>
    <row r="452">
      <c r="B452" s="11"/>
      <c r="C452" s="11"/>
      <c r="D452" s="11"/>
      <c r="E452" s="11"/>
      <c r="F452" s="11"/>
    </row>
    <row r="453">
      <c r="B453" s="11"/>
      <c r="C453" s="11"/>
      <c r="D453" s="11"/>
      <c r="E453" s="11"/>
      <c r="F453" s="11"/>
    </row>
    <row r="454">
      <c r="B454" s="11"/>
      <c r="C454" s="11"/>
      <c r="D454" s="11"/>
      <c r="E454" s="11"/>
      <c r="F454" s="11"/>
    </row>
    <row r="455">
      <c r="B455" s="11"/>
      <c r="C455" s="11"/>
      <c r="D455" s="11"/>
      <c r="E455" s="11"/>
      <c r="F455" s="11"/>
    </row>
    <row r="456">
      <c r="B456" s="11"/>
      <c r="C456" s="11"/>
      <c r="D456" s="11"/>
      <c r="E456" s="11"/>
      <c r="F456" s="11"/>
    </row>
    <row r="457">
      <c r="B457" s="11"/>
      <c r="C457" s="11"/>
      <c r="D457" s="11"/>
      <c r="E457" s="11"/>
      <c r="F457" s="11"/>
    </row>
    <row r="458">
      <c r="B458" s="11"/>
      <c r="C458" s="11"/>
      <c r="D458" s="11"/>
      <c r="E458" s="11"/>
      <c r="F458" s="11"/>
    </row>
    <row r="459">
      <c r="B459" s="11"/>
      <c r="C459" s="11"/>
      <c r="D459" s="11"/>
      <c r="E459" s="11"/>
      <c r="F459" s="11"/>
    </row>
    <row r="460">
      <c r="B460" s="11"/>
      <c r="C460" s="11"/>
      <c r="D460" s="11"/>
      <c r="E460" s="11"/>
      <c r="F460" s="11"/>
    </row>
    <row r="461">
      <c r="B461" s="11"/>
      <c r="C461" s="11"/>
      <c r="D461" s="11"/>
      <c r="E461" s="11"/>
      <c r="F461" s="11"/>
    </row>
    <row r="462">
      <c r="B462" s="11"/>
      <c r="C462" s="11"/>
      <c r="D462" s="11"/>
      <c r="E462" s="11"/>
      <c r="F462" s="11"/>
    </row>
    <row r="463">
      <c r="B463" s="11"/>
      <c r="C463" s="11"/>
      <c r="D463" s="11"/>
      <c r="E463" s="11"/>
      <c r="F463" s="11"/>
    </row>
    <row r="464">
      <c r="B464" s="11"/>
      <c r="C464" s="11"/>
      <c r="D464" s="11"/>
      <c r="E464" s="11"/>
      <c r="F464" s="11"/>
    </row>
    <row r="465">
      <c r="B465" s="11"/>
      <c r="C465" s="11"/>
      <c r="D465" s="11"/>
      <c r="E465" s="11"/>
      <c r="F465" s="11"/>
    </row>
    <row r="466">
      <c r="B466" s="11"/>
      <c r="C466" s="11"/>
      <c r="D466" s="11"/>
      <c r="E466" s="11"/>
      <c r="F466" s="11"/>
    </row>
    <row r="467">
      <c r="B467" s="11"/>
      <c r="C467" s="11"/>
      <c r="D467" s="11"/>
      <c r="E467" s="11"/>
      <c r="F467" s="11"/>
    </row>
    <row r="468">
      <c r="B468" s="11"/>
      <c r="C468" s="11"/>
      <c r="D468" s="11"/>
      <c r="E468" s="11"/>
      <c r="F468" s="11"/>
    </row>
    <row r="469">
      <c r="B469" s="11"/>
      <c r="C469" s="11"/>
      <c r="D469" s="11"/>
      <c r="E469" s="11"/>
      <c r="F469" s="11"/>
    </row>
    <row r="470">
      <c r="B470" s="11"/>
      <c r="C470" s="11"/>
      <c r="D470" s="11"/>
      <c r="E470" s="11"/>
      <c r="F470" s="11"/>
    </row>
    <row r="471">
      <c r="B471" s="11"/>
      <c r="C471" s="11"/>
      <c r="D471" s="11"/>
      <c r="E471" s="11"/>
      <c r="F471" s="11"/>
    </row>
    <row r="472">
      <c r="B472" s="11"/>
      <c r="C472" s="11"/>
      <c r="D472" s="11"/>
      <c r="E472" s="11"/>
      <c r="F472" s="11"/>
    </row>
    <row r="473">
      <c r="B473" s="11"/>
      <c r="C473" s="11"/>
      <c r="D473" s="11"/>
      <c r="E473" s="11"/>
      <c r="F473" s="11"/>
    </row>
    <row r="474">
      <c r="B474" s="11"/>
      <c r="C474" s="11"/>
      <c r="D474" s="11"/>
      <c r="E474" s="11"/>
      <c r="F474" s="11"/>
    </row>
    <row r="475">
      <c r="B475" s="11"/>
      <c r="C475" s="11"/>
      <c r="D475" s="11"/>
      <c r="E475" s="11"/>
      <c r="F475" s="11"/>
    </row>
    <row r="476">
      <c r="B476" s="11"/>
      <c r="C476" s="11"/>
      <c r="D476" s="11"/>
      <c r="E476" s="11"/>
      <c r="F476" s="11"/>
    </row>
    <row r="477">
      <c r="B477" s="11"/>
      <c r="C477" s="11"/>
      <c r="D477" s="11"/>
      <c r="E477" s="11"/>
      <c r="F477" s="11"/>
    </row>
    <row r="478">
      <c r="B478" s="11"/>
      <c r="C478" s="11"/>
      <c r="D478" s="11"/>
      <c r="E478" s="11"/>
      <c r="F478" s="11"/>
    </row>
    <row r="479">
      <c r="B479" s="11"/>
      <c r="C479" s="11"/>
      <c r="D479" s="11"/>
      <c r="E479" s="11"/>
      <c r="F479" s="11"/>
    </row>
    <row r="480">
      <c r="B480" s="11"/>
      <c r="C480" s="11"/>
      <c r="D480" s="11"/>
      <c r="E480" s="11"/>
      <c r="F480" s="11"/>
    </row>
    <row r="481">
      <c r="B481" s="11"/>
      <c r="C481" s="11"/>
      <c r="D481" s="11"/>
      <c r="E481" s="11"/>
      <c r="F481" s="11"/>
    </row>
    <row r="482">
      <c r="B482" s="11"/>
      <c r="C482" s="11"/>
      <c r="D482" s="11"/>
      <c r="E482" s="11"/>
      <c r="F482" s="11"/>
    </row>
    <row r="483">
      <c r="B483" s="11"/>
      <c r="C483" s="11"/>
      <c r="D483" s="11"/>
      <c r="E483" s="11"/>
      <c r="F483" s="11"/>
    </row>
    <row r="484">
      <c r="B484" s="11"/>
      <c r="C484" s="11"/>
      <c r="D484" s="11"/>
      <c r="E484" s="11"/>
      <c r="F484" s="11"/>
    </row>
    <row r="485">
      <c r="B485" s="11"/>
      <c r="C485" s="11"/>
      <c r="D485" s="11"/>
      <c r="E485" s="11"/>
      <c r="F485" s="11"/>
    </row>
    <row r="486">
      <c r="B486" s="11"/>
      <c r="C486" s="11"/>
      <c r="D486" s="11"/>
      <c r="E486" s="11"/>
      <c r="F486" s="11"/>
    </row>
    <row r="487">
      <c r="B487" s="11"/>
      <c r="C487" s="11"/>
      <c r="D487" s="11"/>
      <c r="E487" s="11"/>
      <c r="F487" s="11"/>
    </row>
    <row r="488">
      <c r="B488" s="11"/>
      <c r="C488" s="11"/>
      <c r="D488" s="11"/>
      <c r="E488" s="11"/>
      <c r="F488" s="11"/>
    </row>
    <row r="489">
      <c r="B489" s="11"/>
      <c r="C489" s="11"/>
      <c r="D489" s="11"/>
      <c r="E489" s="11"/>
      <c r="F489" s="11"/>
    </row>
    <row r="490">
      <c r="B490" s="11"/>
      <c r="C490" s="11"/>
      <c r="D490" s="11"/>
      <c r="E490" s="11"/>
      <c r="F490" s="11"/>
    </row>
    <row r="491">
      <c r="B491" s="11"/>
      <c r="C491" s="11"/>
      <c r="D491" s="11"/>
      <c r="E491" s="11"/>
      <c r="F491" s="11"/>
    </row>
    <row r="492">
      <c r="B492" s="11"/>
      <c r="C492" s="11"/>
      <c r="D492" s="11"/>
      <c r="E492" s="11"/>
      <c r="F492" s="11"/>
    </row>
    <row r="493">
      <c r="B493" s="11"/>
      <c r="C493" s="11"/>
      <c r="D493" s="11"/>
      <c r="E493" s="11"/>
      <c r="F493" s="11"/>
    </row>
    <row r="494">
      <c r="B494" s="11"/>
      <c r="C494" s="11"/>
      <c r="D494" s="11"/>
      <c r="E494" s="11"/>
      <c r="F494" s="11"/>
    </row>
    <row r="495">
      <c r="B495" s="11"/>
      <c r="C495" s="11"/>
      <c r="D495" s="11"/>
      <c r="E495" s="11"/>
      <c r="F495" s="11"/>
    </row>
    <row r="496">
      <c r="B496" s="11"/>
      <c r="C496" s="11"/>
      <c r="D496" s="11"/>
      <c r="E496" s="11"/>
      <c r="F496" s="11"/>
    </row>
    <row r="497">
      <c r="B497" s="11"/>
      <c r="C497" s="11"/>
      <c r="D497" s="11"/>
      <c r="E497" s="11"/>
      <c r="F497" s="11"/>
    </row>
    <row r="498">
      <c r="B498" s="11"/>
      <c r="C498" s="11"/>
      <c r="D498" s="11"/>
      <c r="E498" s="11"/>
      <c r="F498" s="11"/>
    </row>
    <row r="499">
      <c r="B499" s="11"/>
      <c r="C499" s="11"/>
      <c r="D499" s="11"/>
      <c r="E499" s="11"/>
      <c r="F499" s="11"/>
    </row>
    <row r="500">
      <c r="B500" s="11"/>
      <c r="C500" s="11"/>
      <c r="D500" s="11"/>
      <c r="E500" s="11"/>
      <c r="F500" s="11"/>
    </row>
    <row r="501">
      <c r="B501" s="11"/>
      <c r="C501" s="11"/>
      <c r="D501" s="11"/>
      <c r="E501" s="11"/>
      <c r="F501" s="11"/>
    </row>
    <row r="502">
      <c r="B502" s="11"/>
      <c r="C502" s="11"/>
      <c r="D502" s="11"/>
      <c r="E502" s="11"/>
      <c r="F502" s="11"/>
    </row>
    <row r="503">
      <c r="B503" s="11"/>
      <c r="C503" s="11"/>
      <c r="D503" s="11"/>
      <c r="E503" s="11"/>
      <c r="F503" s="11"/>
    </row>
    <row r="504">
      <c r="B504" s="11"/>
      <c r="C504" s="11"/>
      <c r="D504" s="11"/>
      <c r="E504" s="11"/>
      <c r="F504" s="11"/>
    </row>
    <row r="505">
      <c r="B505" s="11"/>
      <c r="C505" s="11"/>
      <c r="D505" s="11"/>
      <c r="E505" s="11"/>
      <c r="F505" s="11"/>
    </row>
    <row r="506">
      <c r="B506" s="11"/>
      <c r="C506" s="11"/>
      <c r="D506" s="11"/>
      <c r="E506" s="11"/>
      <c r="F506" s="11"/>
    </row>
    <row r="507">
      <c r="B507" s="11"/>
      <c r="C507" s="11"/>
      <c r="D507" s="11"/>
      <c r="E507" s="11"/>
      <c r="F507" s="11"/>
    </row>
    <row r="508">
      <c r="B508" s="11"/>
      <c r="C508" s="11"/>
      <c r="D508" s="11"/>
      <c r="E508" s="11"/>
      <c r="F508" s="11"/>
    </row>
    <row r="509">
      <c r="B509" s="11"/>
      <c r="C509" s="11"/>
      <c r="D509" s="11"/>
      <c r="E509" s="11"/>
      <c r="F509" s="11"/>
    </row>
    <row r="510">
      <c r="B510" s="11"/>
      <c r="C510" s="11"/>
      <c r="D510" s="11"/>
      <c r="E510" s="11"/>
      <c r="F510" s="11"/>
    </row>
    <row r="511">
      <c r="B511" s="11"/>
      <c r="C511" s="11"/>
      <c r="D511" s="11"/>
      <c r="E511" s="11"/>
      <c r="F511" s="11"/>
    </row>
    <row r="512">
      <c r="B512" s="11"/>
      <c r="C512" s="11"/>
      <c r="D512" s="11"/>
      <c r="E512" s="11"/>
      <c r="F512" s="11"/>
    </row>
    <row r="513">
      <c r="B513" s="11"/>
      <c r="C513" s="11"/>
      <c r="D513" s="11"/>
      <c r="E513" s="11"/>
      <c r="F513" s="11"/>
    </row>
    <row r="514">
      <c r="B514" s="11"/>
      <c r="C514" s="11"/>
      <c r="D514" s="11"/>
      <c r="E514" s="11"/>
      <c r="F514" s="11"/>
    </row>
    <row r="515">
      <c r="B515" s="11"/>
      <c r="C515" s="11"/>
      <c r="D515" s="11"/>
      <c r="E515" s="11"/>
      <c r="F515" s="11"/>
    </row>
    <row r="516">
      <c r="B516" s="11"/>
      <c r="C516" s="11"/>
      <c r="D516" s="11"/>
      <c r="E516" s="11"/>
      <c r="F516" s="11"/>
    </row>
    <row r="517">
      <c r="B517" s="11"/>
      <c r="C517" s="11"/>
      <c r="D517" s="11"/>
      <c r="E517" s="11"/>
      <c r="F517" s="11"/>
    </row>
    <row r="518">
      <c r="B518" s="11"/>
      <c r="C518" s="11"/>
      <c r="D518" s="11"/>
      <c r="E518" s="11"/>
      <c r="F518" s="11"/>
    </row>
    <row r="519">
      <c r="B519" s="11"/>
      <c r="C519" s="11"/>
      <c r="D519" s="11"/>
      <c r="E519" s="11"/>
      <c r="F519" s="11"/>
    </row>
    <row r="520">
      <c r="B520" s="11"/>
      <c r="C520" s="11"/>
      <c r="D520" s="11"/>
      <c r="E520" s="11"/>
      <c r="F520" s="11"/>
    </row>
    <row r="521">
      <c r="B521" s="11"/>
      <c r="C521" s="11"/>
      <c r="D521" s="11"/>
      <c r="E521" s="11"/>
      <c r="F521" s="11"/>
    </row>
    <row r="522">
      <c r="B522" s="11"/>
      <c r="C522" s="11"/>
      <c r="D522" s="11"/>
      <c r="E522" s="11"/>
      <c r="F522" s="11"/>
    </row>
    <row r="523">
      <c r="B523" s="11"/>
      <c r="C523" s="11"/>
      <c r="D523" s="11"/>
      <c r="E523" s="11"/>
      <c r="F523" s="11"/>
    </row>
    <row r="524">
      <c r="B524" s="11"/>
      <c r="C524" s="11"/>
      <c r="D524" s="11"/>
      <c r="E524" s="11"/>
      <c r="F524" s="11"/>
    </row>
    <row r="525">
      <c r="B525" s="11"/>
      <c r="C525" s="11"/>
      <c r="D525" s="11"/>
      <c r="E525" s="11"/>
      <c r="F525" s="11"/>
    </row>
    <row r="526">
      <c r="B526" s="11"/>
      <c r="C526" s="11"/>
      <c r="D526" s="11"/>
      <c r="E526" s="11"/>
      <c r="F526" s="11"/>
    </row>
    <row r="527">
      <c r="B527" s="11"/>
      <c r="C527" s="11"/>
      <c r="D527" s="11"/>
      <c r="E527" s="11"/>
      <c r="F527" s="11"/>
    </row>
    <row r="528">
      <c r="B528" s="11"/>
      <c r="C528" s="11"/>
      <c r="D528" s="11"/>
      <c r="E528" s="11"/>
      <c r="F528" s="11"/>
    </row>
    <row r="529">
      <c r="B529" s="11"/>
      <c r="C529" s="11"/>
      <c r="D529" s="11"/>
      <c r="E529" s="11"/>
      <c r="F529" s="11"/>
    </row>
    <row r="530">
      <c r="B530" s="11"/>
      <c r="C530" s="11"/>
      <c r="D530" s="11"/>
      <c r="E530" s="11"/>
      <c r="F530" s="11"/>
    </row>
    <row r="531">
      <c r="B531" s="11"/>
      <c r="C531" s="11"/>
      <c r="D531" s="11"/>
      <c r="E531" s="11"/>
      <c r="F531" s="11"/>
    </row>
    <row r="532">
      <c r="B532" s="11"/>
      <c r="C532" s="11"/>
      <c r="D532" s="11"/>
      <c r="E532" s="11"/>
      <c r="F532" s="11"/>
    </row>
    <row r="533">
      <c r="B533" s="11"/>
      <c r="C533" s="11"/>
      <c r="D533" s="11"/>
      <c r="E533" s="11"/>
      <c r="F533" s="11"/>
    </row>
    <row r="534">
      <c r="B534" s="11"/>
      <c r="C534" s="11"/>
      <c r="D534" s="11"/>
      <c r="E534" s="11"/>
      <c r="F534" s="11"/>
    </row>
    <row r="535">
      <c r="B535" s="11"/>
      <c r="C535" s="11"/>
      <c r="D535" s="11"/>
      <c r="E535" s="11"/>
      <c r="F535" s="11"/>
    </row>
    <row r="536">
      <c r="B536" s="11"/>
      <c r="C536" s="11"/>
      <c r="D536" s="11"/>
      <c r="E536" s="11"/>
      <c r="F536" s="11"/>
    </row>
    <row r="537">
      <c r="B537" s="11"/>
      <c r="C537" s="11"/>
      <c r="D537" s="11"/>
      <c r="E537" s="11"/>
      <c r="F537" s="11"/>
    </row>
    <row r="538">
      <c r="B538" s="11"/>
      <c r="C538" s="11"/>
      <c r="D538" s="11"/>
      <c r="E538" s="11"/>
      <c r="F538" s="11"/>
    </row>
    <row r="539">
      <c r="B539" s="11"/>
      <c r="C539" s="11"/>
      <c r="D539" s="11"/>
      <c r="E539" s="11"/>
      <c r="F539" s="11"/>
    </row>
    <row r="540">
      <c r="B540" s="11"/>
      <c r="C540" s="11"/>
      <c r="D540" s="11"/>
      <c r="E540" s="11"/>
      <c r="F540" s="11"/>
    </row>
    <row r="541">
      <c r="B541" s="11"/>
      <c r="C541" s="11"/>
      <c r="D541" s="11"/>
      <c r="E541" s="11"/>
      <c r="F541" s="11"/>
    </row>
    <row r="542">
      <c r="B542" s="11"/>
      <c r="C542" s="11"/>
      <c r="D542" s="11"/>
      <c r="E542" s="11"/>
      <c r="F542" s="11"/>
    </row>
    <row r="543">
      <c r="B543" s="11"/>
      <c r="C543" s="11"/>
      <c r="D543" s="11"/>
      <c r="E543" s="11"/>
      <c r="F543" s="11"/>
    </row>
    <row r="544">
      <c r="B544" s="11"/>
      <c r="C544" s="11"/>
      <c r="D544" s="11"/>
      <c r="E544" s="11"/>
      <c r="F544" s="11"/>
    </row>
    <row r="545">
      <c r="B545" s="11"/>
      <c r="C545" s="11"/>
      <c r="D545" s="11"/>
      <c r="E545" s="11"/>
      <c r="F545" s="11"/>
    </row>
    <row r="546">
      <c r="B546" s="11"/>
      <c r="C546" s="11"/>
      <c r="D546" s="11"/>
      <c r="E546" s="11"/>
      <c r="F546" s="11"/>
    </row>
    <row r="547">
      <c r="B547" s="11"/>
      <c r="C547" s="11"/>
      <c r="D547" s="11"/>
      <c r="E547" s="11"/>
      <c r="F547" s="11"/>
    </row>
    <row r="548">
      <c r="B548" s="11"/>
      <c r="C548" s="11"/>
      <c r="D548" s="11"/>
      <c r="E548" s="11"/>
      <c r="F548" s="11"/>
    </row>
    <row r="549">
      <c r="B549" s="11"/>
      <c r="C549" s="11"/>
      <c r="D549" s="11"/>
      <c r="E549" s="11"/>
      <c r="F549" s="11"/>
    </row>
    <row r="550">
      <c r="B550" s="11"/>
      <c r="C550" s="11"/>
      <c r="D550" s="11"/>
      <c r="E550" s="11"/>
      <c r="F550" s="11"/>
    </row>
    <row r="551">
      <c r="B551" s="11"/>
      <c r="C551" s="11"/>
      <c r="D551" s="11"/>
      <c r="E551" s="11"/>
      <c r="F551" s="11"/>
    </row>
    <row r="552">
      <c r="B552" s="11"/>
      <c r="C552" s="11"/>
      <c r="D552" s="11"/>
      <c r="E552" s="11"/>
      <c r="F552" s="11"/>
    </row>
    <row r="553">
      <c r="B553" s="11"/>
      <c r="C553" s="11"/>
      <c r="D553" s="11"/>
      <c r="E553" s="11"/>
      <c r="F553" s="11"/>
    </row>
    <row r="554">
      <c r="B554" s="11"/>
      <c r="C554" s="11"/>
      <c r="D554" s="11"/>
      <c r="E554" s="11"/>
      <c r="F554" s="11"/>
    </row>
    <row r="555">
      <c r="B555" s="11"/>
      <c r="C555" s="11"/>
      <c r="D555" s="11"/>
      <c r="E555" s="11"/>
      <c r="F555" s="11"/>
    </row>
    <row r="556">
      <c r="B556" s="11"/>
      <c r="C556" s="11"/>
      <c r="D556" s="11"/>
      <c r="E556" s="11"/>
      <c r="F556" s="11"/>
    </row>
    <row r="557">
      <c r="B557" s="11"/>
      <c r="C557" s="11"/>
      <c r="D557" s="11"/>
      <c r="E557" s="11"/>
      <c r="F557" s="11"/>
    </row>
    <row r="558">
      <c r="B558" s="11"/>
      <c r="C558" s="11"/>
      <c r="D558" s="11"/>
      <c r="E558" s="11"/>
      <c r="F558" s="11"/>
    </row>
    <row r="559">
      <c r="B559" s="11"/>
      <c r="C559" s="11"/>
      <c r="D559" s="11"/>
      <c r="E559" s="11"/>
      <c r="F559" s="11"/>
    </row>
    <row r="560">
      <c r="B560" s="11"/>
      <c r="C560" s="11"/>
      <c r="D560" s="11"/>
      <c r="E560" s="11"/>
      <c r="F560" s="11"/>
    </row>
    <row r="561">
      <c r="B561" s="11"/>
      <c r="C561" s="11"/>
      <c r="D561" s="11"/>
      <c r="E561" s="11"/>
      <c r="F561" s="11"/>
    </row>
    <row r="562">
      <c r="B562" s="11"/>
      <c r="C562" s="11"/>
      <c r="D562" s="11"/>
      <c r="E562" s="11"/>
      <c r="F562" s="11"/>
    </row>
    <row r="563">
      <c r="B563" s="11"/>
      <c r="C563" s="11"/>
      <c r="D563" s="11"/>
      <c r="E563" s="11"/>
      <c r="F563" s="11"/>
    </row>
    <row r="564">
      <c r="B564" s="11"/>
      <c r="C564" s="11"/>
      <c r="D564" s="11"/>
      <c r="E564" s="11"/>
      <c r="F564" s="11"/>
    </row>
    <row r="565">
      <c r="B565" s="11"/>
      <c r="C565" s="11"/>
      <c r="D565" s="11"/>
      <c r="E565" s="11"/>
      <c r="F565" s="11"/>
    </row>
    <row r="566">
      <c r="B566" s="11"/>
      <c r="C566" s="11"/>
      <c r="D566" s="11"/>
      <c r="E566" s="11"/>
      <c r="F566" s="11"/>
    </row>
    <row r="567">
      <c r="B567" s="11"/>
      <c r="C567" s="11"/>
      <c r="D567" s="11"/>
      <c r="E567" s="11"/>
      <c r="F567" s="11"/>
    </row>
    <row r="568">
      <c r="B568" s="11"/>
      <c r="C568" s="11"/>
      <c r="D568" s="11"/>
      <c r="E568" s="11"/>
      <c r="F568" s="11"/>
    </row>
    <row r="569">
      <c r="B569" s="11"/>
      <c r="C569" s="11"/>
      <c r="D569" s="11"/>
      <c r="E569" s="11"/>
      <c r="F569" s="11"/>
    </row>
    <row r="570">
      <c r="B570" s="11"/>
      <c r="C570" s="11"/>
      <c r="D570" s="11"/>
      <c r="E570" s="11"/>
      <c r="F570" s="11"/>
    </row>
    <row r="571">
      <c r="B571" s="11"/>
      <c r="C571" s="11"/>
      <c r="D571" s="11"/>
      <c r="E571" s="11"/>
      <c r="F571" s="11"/>
    </row>
    <row r="572">
      <c r="B572" s="11"/>
      <c r="C572" s="11"/>
      <c r="D572" s="11"/>
      <c r="E572" s="11"/>
      <c r="F572" s="11"/>
    </row>
    <row r="573">
      <c r="B573" s="11"/>
      <c r="C573" s="11"/>
      <c r="D573" s="11"/>
      <c r="E573" s="11"/>
      <c r="F573" s="11"/>
    </row>
    <row r="574">
      <c r="B574" s="11"/>
      <c r="C574" s="11"/>
      <c r="D574" s="11"/>
      <c r="E574" s="11"/>
      <c r="F574" s="11"/>
    </row>
    <row r="575">
      <c r="B575" s="11"/>
      <c r="C575" s="11"/>
      <c r="D575" s="11"/>
      <c r="E575" s="11"/>
      <c r="F575" s="11"/>
    </row>
    <row r="576">
      <c r="B576" s="11"/>
      <c r="C576" s="11"/>
      <c r="D576" s="11"/>
      <c r="E576" s="11"/>
      <c r="F576" s="11"/>
    </row>
    <row r="577">
      <c r="B577" s="11"/>
      <c r="C577" s="11"/>
      <c r="D577" s="11"/>
      <c r="E577" s="11"/>
      <c r="F577" s="11"/>
    </row>
    <row r="578">
      <c r="B578" s="11"/>
      <c r="C578" s="11"/>
      <c r="D578" s="11"/>
      <c r="E578" s="11"/>
      <c r="F578" s="11"/>
    </row>
    <row r="579">
      <c r="B579" s="11"/>
      <c r="C579" s="11"/>
      <c r="D579" s="11"/>
      <c r="E579" s="11"/>
      <c r="F579" s="11"/>
    </row>
    <row r="580">
      <c r="B580" s="11"/>
      <c r="C580" s="11"/>
      <c r="D580" s="11"/>
      <c r="E580" s="11"/>
      <c r="F580" s="11"/>
    </row>
    <row r="581">
      <c r="B581" s="11"/>
      <c r="C581" s="11"/>
      <c r="D581" s="11"/>
      <c r="E581" s="11"/>
      <c r="F581" s="11"/>
    </row>
    <row r="582">
      <c r="B582" s="11"/>
      <c r="C582" s="11"/>
      <c r="D582" s="11"/>
      <c r="E582" s="11"/>
      <c r="F582" s="11"/>
    </row>
    <row r="583">
      <c r="B583" s="11"/>
      <c r="C583" s="11"/>
      <c r="D583" s="11"/>
      <c r="E583" s="11"/>
      <c r="F583" s="11"/>
    </row>
    <row r="584">
      <c r="B584" s="11"/>
      <c r="C584" s="11"/>
      <c r="D584" s="11"/>
      <c r="E584" s="11"/>
      <c r="F584" s="11"/>
    </row>
    <row r="585">
      <c r="B585" s="11"/>
      <c r="C585" s="11"/>
      <c r="D585" s="11"/>
      <c r="E585" s="11"/>
      <c r="F585" s="11"/>
    </row>
    <row r="586">
      <c r="B586" s="11"/>
      <c r="C586" s="11"/>
      <c r="D586" s="11"/>
      <c r="E586" s="11"/>
      <c r="F586" s="11"/>
    </row>
    <row r="587">
      <c r="B587" s="11"/>
      <c r="C587" s="11"/>
      <c r="D587" s="11"/>
      <c r="E587" s="11"/>
      <c r="F587" s="11"/>
    </row>
    <row r="588">
      <c r="B588" s="11"/>
      <c r="C588" s="11"/>
      <c r="D588" s="11"/>
      <c r="E588" s="11"/>
      <c r="F588" s="11"/>
    </row>
    <row r="589">
      <c r="B589" s="11"/>
      <c r="C589" s="11"/>
      <c r="D589" s="11"/>
      <c r="E589" s="11"/>
      <c r="F589" s="11"/>
    </row>
    <row r="590">
      <c r="B590" s="11"/>
      <c r="C590" s="11"/>
      <c r="D590" s="11"/>
      <c r="E590" s="11"/>
      <c r="F590" s="11"/>
    </row>
    <row r="591">
      <c r="B591" s="11"/>
      <c r="C591" s="11"/>
      <c r="D591" s="11"/>
      <c r="E591" s="11"/>
      <c r="F591" s="11"/>
    </row>
    <row r="592">
      <c r="B592" s="11"/>
      <c r="C592" s="11"/>
      <c r="D592" s="11"/>
      <c r="E592" s="11"/>
      <c r="F592" s="11"/>
    </row>
    <row r="593">
      <c r="B593" s="11"/>
      <c r="C593" s="11"/>
      <c r="D593" s="11"/>
      <c r="E593" s="11"/>
      <c r="F593" s="11"/>
    </row>
    <row r="594">
      <c r="B594" s="11"/>
      <c r="C594" s="11"/>
      <c r="D594" s="11"/>
      <c r="E594" s="11"/>
      <c r="F594" s="11"/>
    </row>
    <row r="595">
      <c r="B595" s="11"/>
      <c r="C595" s="11"/>
      <c r="D595" s="11"/>
      <c r="E595" s="11"/>
      <c r="F595" s="11"/>
    </row>
    <row r="596">
      <c r="B596" s="11"/>
      <c r="C596" s="11"/>
      <c r="D596" s="11"/>
      <c r="E596" s="11"/>
      <c r="F596" s="11"/>
    </row>
    <row r="597">
      <c r="B597" s="11"/>
      <c r="C597" s="11"/>
      <c r="D597" s="11"/>
      <c r="E597" s="11"/>
      <c r="F597" s="11"/>
    </row>
    <row r="598">
      <c r="B598" s="11"/>
      <c r="C598" s="11"/>
      <c r="D598" s="11"/>
      <c r="E598" s="11"/>
      <c r="F598" s="11"/>
    </row>
    <row r="599">
      <c r="B599" s="11"/>
      <c r="C599" s="11"/>
      <c r="D599" s="11"/>
      <c r="E599" s="11"/>
      <c r="F599" s="11"/>
    </row>
    <row r="600">
      <c r="B600" s="11"/>
      <c r="C600" s="11"/>
      <c r="D600" s="11"/>
      <c r="E600" s="11"/>
      <c r="F600" s="11"/>
    </row>
    <row r="601">
      <c r="B601" s="11"/>
      <c r="C601" s="11"/>
      <c r="D601" s="11"/>
      <c r="E601" s="11"/>
      <c r="F601" s="11"/>
    </row>
    <row r="602">
      <c r="B602" s="11"/>
      <c r="C602" s="11"/>
      <c r="D602" s="11"/>
      <c r="E602" s="11"/>
      <c r="F602" s="11"/>
    </row>
    <row r="603">
      <c r="B603" s="11"/>
      <c r="C603" s="11"/>
      <c r="D603" s="11"/>
      <c r="E603" s="11"/>
      <c r="F603" s="11"/>
    </row>
    <row r="604">
      <c r="B604" s="11"/>
      <c r="C604" s="11"/>
      <c r="D604" s="11"/>
      <c r="E604" s="11"/>
      <c r="F604" s="11"/>
    </row>
    <row r="605">
      <c r="B605" s="11"/>
      <c r="C605" s="11"/>
      <c r="D605" s="11"/>
      <c r="E605" s="11"/>
      <c r="F605" s="11"/>
    </row>
    <row r="606">
      <c r="B606" s="11"/>
      <c r="C606" s="11"/>
      <c r="D606" s="11"/>
      <c r="E606" s="11"/>
      <c r="F606" s="11"/>
    </row>
    <row r="607">
      <c r="B607" s="11"/>
      <c r="C607" s="11"/>
      <c r="D607" s="11"/>
      <c r="E607" s="11"/>
      <c r="F607" s="11"/>
    </row>
    <row r="608">
      <c r="B608" s="11"/>
      <c r="C608" s="11"/>
      <c r="D608" s="11"/>
      <c r="E608" s="11"/>
      <c r="F608" s="11"/>
    </row>
    <row r="609">
      <c r="B609" s="11"/>
      <c r="C609" s="11"/>
      <c r="D609" s="11"/>
      <c r="E609" s="11"/>
      <c r="F609" s="11"/>
    </row>
    <row r="610">
      <c r="B610" s="11"/>
      <c r="C610" s="11"/>
      <c r="D610" s="11"/>
      <c r="E610" s="11"/>
      <c r="F610" s="11"/>
    </row>
    <row r="611">
      <c r="B611" s="11"/>
      <c r="C611" s="11"/>
      <c r="D611" s="11"/>
      <c r="E611" s="11"/>
      <c r="F611" s="11"/>
    </row>
    <row r="612">
      <c r="B612" s="11"/>
      <c r="C612" s="11"/>
      <c r="D612" s="11"/>
      <c r="E612" s="11"/>
      <c r="F612" s="11"/>
    </row>
    <row r="613">
      <c r="B613" s="11"/>
      <c r="C613" s="11"/>
      <c r="D613" s="11"/>
      <c r="E613" s="11"/>
      <c r="F613" s="11"/>
    </row>
    <row r="614">
      <c r="B614" s="11"/>
      <c r="C614" s="11"/>
      <c r="D614" s="11"/>
      <c r="E614" s="11"/>
      <c r="F614" s="11"/>
    </row>
    <row r="615">
      <c r="B615" s="11"/>
      <c r="C615" s="11"/>
      <c r="D615" s="11"/>
      <c r="E615" s="11"/>
      <c r="F615" s="11"/>
    </row>
    <row r="616">
      <c r="B616" s="11"/>
      <c r="C616" s="11"/>
      <c r="D616" s="11"/>
      <c r="E616" s="11"/>
      <c r="F616" s="11"/>
    </row>
    <row r="617">
      <c r="B617" s="11"/>
      <c r="C617" s="11"/>
      <c r="D617" s="11"/>
      <c r="E617" s="11"/>
      <c r="F617" s="11"/>
    </row>
    <row r="618">
      <c r="B618" s="11"/>
      <c r="C618" s="11"/>
      <c r="D618" s="11"/>
      <c r="E618" s="11"/>
      <c r="F618" s="11"/>
    </row>
    <row r="619">
      <c r="B619" s="11"/>
      <c r="C619" s="11"/>
      <c r="D619" s="11"/>
      <c r="E619" s="11"/>
      <c r="F619" s="11"/>
    </row>
    <row r="620">
      <c r="B620" s="11"/>
      <c r="C620" s="11"/>
      <c r="D620" s="11"/>
      <c r="E620" s="11"/>
      <c r="F620" s="11"/>
    </row>
    <row r="621">
      <c r="B621" s="11"/>
      <c r="C621" s="11"/>
      <c r="D621" s="11"/>
      <c r="E621" s="11"/>
      <c r="F621" s="11"/>
    </row>
    <row r="622">
      <c r="B622" s="11"/>
      <c r="C622" s="11"/>
      <c r="D622" s="11"/>
      <c r="E622" s="11"/>
      <c r="F622" s="11"/>
    </row>
    <row r="623">
      <c r="B623" s="11"/>
      <c r="C623" s="11"/>
      <c r="D623" s="11"/>
      <c r="E623" s="11"/>
      <c r="F623" s="11"/>
    </row>
    <row r="624">
      <c r="B624" s="11"/>
      <c r="C624" s="11"/>
      <c r="D624" s="11"/>
      <c r="E624" s="11"/>
      <c r="F624" s="11"/>
    </row>
    <row r="625">
      <c r="B625" s="11"/>
      <c r="C625" s="11"/>
      <c r="D625" s="11"/>
      <c r="E625" s="11"/>
      <c r="F625" s="11"/>
    </row>
    <row r="626">
      <c r="B626" s="11"/>
      <c r="C626" s="11"/>
      <c r="D626" s="11"/>
      <c r="E626" s="11"/>
      <c r="F626" s="11"/>
    </row>
    <row r="627">
      <c r="B627" s="11"/>
      <c r="C627" s="11"/>
      <c r="D627" s="11"/>
      <c r="E627" s="11"/>
      <c r="F627" s="11"/>
    </row>
    <row r="628">
      <c r="B628" s="11"/>
      <c r="C628" s="11"/>
      <c r="D628" s="11"/>
      <c r="E628" s="11"/>
      <c r="F628" s="11"/>
    </row>
    <row r="629">
      <c r="B629" s="11"/>
      <c r="C629" s="11"/>
      <c r="D629" s="11"/>
      <c r="E629" s="11"/>
      <c r="F629" s="11"/>
    </row>
    <row r="630">
      <c r="B630" s="11"/>
      <c r="C630" s="11"/>
      <c r="D630" s="11"/>
      <c r="E630" s="11"/>
      <c r="F630" s="11"/>
    </row>
    <row r="631">
      <c r="B631" s="11"/>
      <c r="C631" s="11"/>
      <c r="D631" s="11"/>
      <c r="E631" s="11"/>
      <c r="F631" s="11"/>
    </row>
    <row r="632">
      <c r="B632" s="11"/>
      <c r="C632" s="11"/>
      <c r="D632" s="11"/>
      <c r="E632" s="11"/>
      <c r="F632" s="11"/>
    </row>
    <row r="633">
      <c r="B633" s="11"/>
      <c r="C633" s="11"/>
      <c r="D633" s="11"/>
      <c r="E633" s="11"/>
      <c r="F633" s="11"/>
    </row>
    <row r="634">
      <c r="B634" s="11"/>
      <c r="C634" s="11"/>
      <c r="D634" s="11"/>
      <c r="E634" s="11"/>
      <c r="F634" s="11"/>
    </row>
    <row r="635">
      <c r="B635" s="11"/>
      <c r="C635" s="11"/>
      <c r="D635" s="11"/>
      <c r="E635" s="11"/>
      <c r="F635" s="11"/>
    </row>
    <row r="636">
      <c r="B636" s="11"/>
      <c r="C636" s="11"/>
      <c r="D636" s="11"/>
      <c r="E636" s="11"/>
      <c r="F636" s="11"/>
    </row>
    <row r="637">
      <c r="B637" s="11"/>
      <c r="C637" s="11"/>
      <c r="D637" s="11"/>
      <c r="E637" s="11"/>
      <c r="F637" s="11"/>
    </row>
    <row r="638">
      <c r="B638" s="11"/>
      <c r="C638" s="11"/>
      <c r="D638" s="11"/>
      <c r="E638" s="11"/>
      <c r="F638" s="11"/>
    </row>
    <row r="639">
      <c r="B639" s="11"/>
      <c r="C639" s="11"/>
      <c r="D639" s="11"/>
      <c r="E639" s="11"/>
      <c r="F639" s="11"/>
    </row>
    <row r="640">
      <c r="B640" s="11"/>
      <c r="C640" s="11"/>
      <c r="D640" s="11"/>
      <c r="E640" s="11"/>
      <c r="F640" s="11"/>
    </row>
    <row r="641">
      <c r="B641" s="11"/>
      <c r="C641" s="11"/>
      <c r="D641" s="11"/>
      <c r="E641" s="11"/>
      <c r="F641" s="11"/>
    </row>
    <row r="642">
      <c r="B642" s="11"/>
      <c r="C642" s="11"/>
      <c r="D642" s="11"/>
      <c r="E642" s="11"/>
      <c r="F642" s="11"/>
    </row>
    <row r="643">
      <c r="B643" s="11"/>
      <c r="C643" s="11"/>
      <c r="D643" s="11"/>
      <c r="E643" s="11"/>
      <c r="F643" s="11"/>
    </row>
    <row r="644">
      <c r="B644" s="11"/>
      <c r="C644" s="11"/>
      <c r="D644" s="11"/>
      <c r="E644" s="11"/>
      <c r="F644" s="11"/>
    </row>
    <row r="645">
      <c r="B645" s="11"/>
      <c r="C645" s="11"/>
      <c r="D645" s="11"/>
      <c r="E645" s="11"/>
      <c r="F645" s="11"/>
    </row>
    <row r="646">
      <c r="B646" s="11"/>
      <c r="C646" s="11"/>
      <c r="D646" s="11"/>
      <c r="E646" s="11"/>
      <c r="F646" s="11"/>
    </row>
    <row r="647">
      <c r="B647" s="11"/>
      <c r="C647" s="11"/>
      <c r="D647" s="11"/>
      <c r="E647" s="11"/>
      <c r="F647" s="11"/>
    </row>
    <row r="648">
      <c r="B648" s="11"/>
      <c r="C648" s="11"/>
      <c r="D648" s="11"/>
      <c r="E648" s="11"/>
      <c r="F648" s="11"/>
    </row>
    <row r="649">
      <c r="B649" s="11"/>
      <c r="C649" s="11"/>
      <c r="D649" s="11"/>
      <c r="E649" s="11"/>
      <c r="F649" s="11"/>
    </row>
    <row r="650">
      <c r="B650" s="11"/>
      <c r="C650" s="11"/>
      <c r="D650" s="11"/>
      <c r="E650" s="11"/>
      <c r="F650" s="11"/>
    </row>
    <row r="651">
      <c r="B651" s="11"/>
      <c r="C651" s="11"/>
      <c r="D651" s="11"/>
      <c r="E651" s="11"/>
      <c r="F651" s="11"/>
    </row>
    <row r="652">
      <c r="B652" s="11"/>
      <c r="C652" s="11"/>
      <c r="D652" s="11"/>
      <c r="E652" s="11"/>
      <c r="F652" s="11"/>
    </row>
    <row r="653">
      <c r="B653" s="11"/>
      <c r="C653" s="11"/>
      <c r="D653" s="11"/>
      <c r="E653" s="11"/>
      <c r="F653" s="11"/>
    </row>
    <row r="654">
      <c r="B654" s="11"/>
      <c r="C654" s="11"/>
      <c r="D654" s="11"/>
      <c r="E654" s="11"/>
      <c r="F654" s="11"/>
    </row>
    <row r="655">
      <c r="B655" s="11"/>
      <c r="C655" s="11"/>
      <c r="D655" s="11"/>
      <c r="E655" s="11"/>
      <c r="F655" s="11"/>
    </row>
    <row r="656">
      <c r="B656" s="11"/>
      <c r="C656" s="11"/>
      <c r="D656" s="11"/>
      <c r="E656" s="11"/>
      <c r="F656" s="11"/>
    </row>
    <row r="657">
      <c r="B657" s="11"/>
      <c r="C657" s="11"/>
      <c r="D657" s="11"/>
      <c r="E657" s="11"/>
      <c r="F657" s="11"/>
    </row>
    <row r="658">
      <c r="B658" s="11"/>
      <c r="C658" s="11"/>
      <c r="D658" s="11"/>
      <c r="E658" s="11"/>
      <c r="F658" s="11"/>
    </row>
    <row r="659">
      <c r="B659" s="11"/>
      <c r="C659" s="11"/>
      <c r="D659" s="11"/>
      <c r="E659" s="11"/>
      <c r="F659" s="11"/>
    </row>
    <row r="660">
      <c r="B660" s="11"/>
      <c r="C660" s="11"/>
      <c r="D660" s="11"/>
      <c r="E660" s="11"/>
      <c r="F660" s="11"/>
    </row>
    <row r="661">
      <c r="B661" s="11"/>
      <c r="C661" s="11"/>
      <c r="D661" s="11"/>
      <c r="E661" s="11"/>
      <c r="F661" s="11"/>
    </row>
    <row r="662">
      <c r="B662" s="11"/>
      <c r="C662" s="11"/>
      <c r="D662" s="11"/>
      <c r="E662" s="11"/>
      <c r="F662" s="11"/>
    </row>
    <row r="663">
      <c r="B663" s="11"/>
      <c r="C663" s="11"/>
      <c r="D663" s="11"/>
      <c r="E663" s="11"/>
      <c r="F663" s="11"/>
    </row>
    <row r="664">
      <c r="B664" s="11"/>
      <c r="C664" s="11"/>
      <c r="D664" s="11"/>
      <c r="E664" s="11"/>
      <c r="F664" s="11"/>
    </row>
    <row r="665">
      <c r="B665" s="11"/>
      <c r="C665" s="11"/>
      <c r="D665" s="11"/>
      <c r="E665" s="11"/>
      <c r="F665" s="11"/>
    </row>
    <row r="666">
      <c r="B666" s="11"/>
      <c r="C666" s="11"/>
      <c r="D666" s="11"/>
      <c r="E666" s="11"/>
      <c r="F666" s="11"/>
    </row>
    <row r="667">
      <c r="B667" s="11"/>
      <c r="C667" s="11"/>
      <c r="D667" s="11"/>
      <c r="E667" s="11"/>
      <c r="F667" s="11"/>
    </row>
    <row r="668">
      <c r="B668" s="11"/>
      <c r="C668" s="11"/>
      <c r="D668" s="11"/>
      <c r="E668" s="11"/>
      <c r="F668" s="11"/>
    </row>
    <row r="669">
      <c r="B669" s="11"/>
      <c r="C669" s="11"/>
      <c r="D669" s="11"/>
      <c r="E669" s="11"/>
      <c r="F669" s="11"/>
    </row>
    <row r="670">
      <c r="B670" s="11"/>
      <c r="C670" s="11"/>
      <c r="D670" s="11"/>
      <c r="E670" s="11"/>
      <c r="F670" s="11"/>
    </row>
    <row r="671">
      <c r="B671" s="11"/>
      <c r="C671" s="11"/>
      <c r="D671" s="11"/>
      <c r="E671" s="11"/>
      <c r="F671" s="11"/>
    </row>
    <row r="672">
      <c r="B672" s="11"/>
      <c r="C672" s="11"/>
      <c r="D672" s="11"/>
      <c r="E672" s="11"/>
      <c r="F672" s="11"/>
    </row>
    <row r="673">
      <c r="B673" s="11"/>
      <c r="C673" s="11"/>
      <c r="D673" s="11"/>
      <c r="E673" s="11"/>
      <c r="F673" s="11"/>
    </row>
    <row r="674">
      <c r="B674" s="11"/>
      <c r="C674" s="11"/>
      <c r="D674" s="11"/>
      <c r="E674" s="11"/>
      <c r="F674" s="11"/>
    </row>
    <row r="675">
      <c r="B675" s="11"/>
      <c r="C675" s="11"/>
      <c r="D675" s="11"/>
      <c r="E675" s="11"/>
      <c r="F675" s="11"/>
    </row>
    <row r="676">
      <c r="B676" s="11"/>
      <c r="C676" s="11"/>
      <c r="D676" s="11"/>
      <c r="E676" s="11"/>
      <c r="F676" s="11"/>
    </row>
    <row r="677">
      <c r="B677" s="11"/>
      <c r="C677" s="11"/>
      <c r="D677" s="11"/>
      <c r="E677" s="11"/>
      <c r="F677" s="11"/>
    </row>
    <row r="678">
      <c r="B678" s="11"/>
      <c r="C678" s="11"/>
      <c r="D678" s="11"/>
      <c r="E678" s="11"/>
      <c r="F678" s="11"/>
    </row>
    <row r="679">
      <c r="B679" s="11"/>
      <c r="C679" s="11"/>
      <c r="D679" s="11"/>
      <c r="E679" s="11"/>
      <c r="F679" s="11"/>
    </row>
    <row r="680">
      <c r="B680" s="11"/>
      <c r="C680" s="11"/>
      <c r="D680" s="11"/>
      <c r="E680" s="11"/>
      <c r="F680" s="11"/>
    </row>
    <row r="681">
      <c r="B681" s="11"/>
      <c r="C681" s="11"/>
      <c r="D681" s="11"/>
      <c r="E681" s="11"/>
      <c r="F681" s="11"/>
    </row>
    <row r="682">
      <c r="B682" s="11"/>
      <c r="C682" s="11"/>
      <c r="D682" s="11"/>
      <c r="E682" s="11"/>
      <c r="F682" s="11"/>
    </row>
    <row r="683">
      <c r="B683" s="11"/>
      <c r="C683" s="11"/>
      <c r="D683" s="11"/>
      <c r="E683" s="11"/>
      <c r="F683" s="11"/>
    </row>
    <row r="684">
      <c r="B684" s="11"/>
      <c r="C684" s="11"/>
      <c r="D684" s="11"/>
      <c r="E684" s="11"/>
      <c r="F684" s="11"/>
    </row>
    <row r="685">
      <c r="B685" s="11"/>
      <c r="C685" s="11"/>
      <c r="D685" s="11"/>
      <c r="E685" s="11"/>
      <c r="F685" s="11"/>
    </row>
    <row r="686">
      <c r="B686" s="11"/>
      <c r="C686" s="11"/>
      <c r="D686" s="11"/>
      <c r="E686" s="11"/>
      <c r="F686" s="11"/>
    </row>
    <row r="687">
      <c r="B687" s="11"/>
      <c r="C687" s="11"/>
      <c r="D687" s="11"/>
      <c r="E687" s="11"/>
      <c r="F687" s="11"/>
    </row>
    <row r="688">
      <c r="B688" s="11"/>
      <c r="C688" s="11"/>
      <c r="D688" s="11"/>
      <c r="E688" s="11"/>
      <c r="F688" s="11"/>
    </row>
    <row r="689">
      <c r="B689" s="11"/>
      <c r="C689" s="11"/>
      <c r="D689" s="11"/>
      <c r="E689" s="11"/>
      <c r="F689" s="11"/>
    </row>
    <row r="690">
      <c r="B690" s="11"/>
      <c r="C690" s="11"/>
      <c r="D690" s="11"/>
      <c r="E690" s="11"/>
      <c r="F690" s="11"/>
    </row>
    <row r="691">
      <c r="B691" s="11"/>
      <c r="C691" s="11"/>
      <c r="D691" s="11"/>
      <c r="E691" s="11"/>
      <c r="F691" s="11"/>
    </row>
    <row r="692">
      <c r="B692" s="11"/>
      <c r="C692" s="11"/>
      <c r="D692" s="11"/>
      <c r="E692" s="11"/>
      <c r="F692" s="11"/>
    </row>
    <row r="693">
      <c r="B693" s="11"/>
      <c r="C693" s="11"/>
      <c r="D693" s="11"/>
      <c r="E693" s="11"/>
      <c r="F693" s="11"/>
    </row>
    <row r="694">
      <c r="B694" s="11"/>
      <c r="C694" s="11"/>
      <c r="D694" s="11"/>
      <c r="E694" s="11"/>
      <c r="F694" s="11"/>
    </row>
    <row r="695">
      <c r="B695" s="11"/>
      <c r="C695" s="11"/>
      <c r="D695" s="11"/>
      <c r="E695" s="11"/>
      <c r="F695" s="11"/>
    </row>
    <row r="696">
      <c r="B696" s="11"/>
      <c r="C696" s="11"/>
      <c r="D696" s="11"/>
      <c r="E696" s="11"/>
      <c r="F696" s="11"/>
    </row>
    <row r="697">
      <c r="B697" s="11"/>
      <c r="C697" s="11"/>
      <c r="D697" s="11"/>
      <c r="E697" s="11"/>
      <c r="F697" s="11"/>
    </row>
    <row r="698">
      <c r="B698" s="11"/>
      <c r="C698" s="11"/>
      <c r="D698" s="11"/>
      <c r="E698" s="11"/>
      <c r="F698" s="11"/>
    </row>
    <row r="699">
      <c r="B699" s="11"/>
      <c r="C699" s="11"/>
      <c r="D699" s="11"/>
      <c r="E699" s="11"/>
      <c r="F699" s="11"/>
    </row>
    <row r="700">
      <c r="B700" s="11"/>
      <c r="C700" s="11"/>
      <c r="D700" s="11"/>
      <c r="E700" s="11"/>
      <c r="F700" s="11"/>
    </row>
    <row r="701">
      <c r="B701" s="11"/>
      <c r="C701" s="11"/>
      <c r="D701" s="11"/>
      <c r="E701" s="11"/>
      <c r="F701" s="11"/>
    </row>
    <row r="702">
      <c r="B702" s="11"/>
      <c r="C702" s="11"/>
      <c r="D702" s="11"/>
      <c r="E702" s="11"/>
      <c r="F702" s="11"/>
    </row>
    <row r="703">
      <c r="B703" s="11"/>
      <c r="C703" s="11"/>
      <c r="D703" s="11"/>
      <c r="E703" s="11"/>
      <c r="F703" s="11"/>
    </row>
    <row r="704">
      <c r="B704" s="11"/>
      <c r="C704" s="11"/>
      <c r="D704" s="11"/>
      <c r="E704" s="11"/>
      <c r="F704" s="11"/>
    </row>
    <row r="705">
      <c r="B705" s="11"/>
      <c r="C705" s="11"/>
      <c r="D705" s="11"/>
      <c r="E705" s="11"/>
      <c r="F705" s="11"/>
    </row>
    <row r="706">
      <c r="B706" s="11"/>
      <c r="C706" s="11"/>
      <c r="D706" s="11"/>
      <c r="E706" s="11"/>
      <c r="F706" s="11"/>
    </row>
    <row r="707">
      <c r="B707" s="11"/>
      <c r="C707" s="11"/>
      <c r="D707" s="11"/>
      <c r="E707" s="11"/>
      <c r="F707" s="11"/>
    </row>
    <row r="708">
      <c r="B708" s="11"/>
      <c r="C708" s="11"/>
      <c r="D708" s="11"/>
      <c r="E708" s="11"/>
      <c r="F708" s="11"/>
    </row>
    <row r="709">
      <c r="B709" s="11"/>
      <c r="C709" s="11"/>
      <c r="D709" s="11"/>
      <c r="E709" s="11"/>
      <c r="F709" s="11"/>
    </row>
    <row r="710">
      <c r="B710" s="11"/>
      <c r="C710" s="11"/>
      <c r="D710" s="11"/>
      <c r="E710" s="11"/>
      <c r="F710" s="11"/>
    </row>
    <row r="711">
      <c r="B711" s="11"/>
      <c r="C711" s="11"/>
      <c r="D711" s="11"/>
      <c r="E711" s="11"/>
      <c r="F711" s="11"/>
    </row>
    <row r="712">
      <c r="B712" s="11"/>
      <c r="C712" s="11"/>
      <c r="D712" s="11"/>
      <c r="E712" s="11"/>
      <c r="F712" s="11"/>
    </row>
    <row r="713">
      <c r="B713" s="11"/>
      <c r="C713" s="11"/>
      <c r="D713" s="11"/>
      <c r="E713" s="11"/>
      <c r="F713" s="11"/>
    </row>
    <row r="714">
      <c r="B714" s="11"/>
      <c r="C714" s="11"/>
      <c r="D714" s="11"/>
      <c r="E714" s="11"/>
      <c r="F714" s="11"/>
    </row>
    <row r="715">
      <c r="B715" s="11"/>
      <c r="C715" s="11"/>
      <c r="D715" s="11"/>
      <c r="E715" s="11"/>
      <c r="F715" s="11"/>
    </row>
    <row r="716">
      <c r="B716" s="11"/>
      <c r="C716" s="11"/>
      <c r="D716" s="11"/>
      <c r="E716" s="11"/>
      <c r="F716" s="11"/>
    </row>
    <row r="717">
      <c r="B717" s="11"/>
      <c r="C717" s="11"/>
      <c r="D717" s="11"/>
      <c r="E717" s="11"/>
      <c r="F717" s="11"/>
    </row>
    <row r="718">
      <c r="B718" s="11"/>
      <c r="C718" s="11"/>
      <c r="D718" s="11"/>
      <c r="E718" s="11"/>
      <c r="F718" s="11"/>
    </row>
    <row r="719">
      <c r="B719" s="11"/>
      <c r="C719" s="11"/>
      <c r="D719" s="11"/>
      <c r="E719" s="11"/>
      <c r="F719" s="11"/>
    </row>
    <row r="720">
      <c r="B720" s="11"/>
      <c r="C720" s="11"/>
      <c r="D720" s="11"/>
      <c r="E720" s="11"/>
      <c r="F720" s="11"/>
    </row>
    <row r="721">
      <c r="B721" s="11"/>
      <c r="C721" s="11"/>
      <c r="D721" s="11"/>
      <c r="E721" s="11"/>
      <c r="F721" s="11"/>
    </row>
    <row r="722">
      <c r="B722" s="11"/>
      <c r="C722" s="11"/>
      <c r="D722" s="11"/>
      <c r="E722" s="11"/>
      <c r="F722" s="11"/>
    </row>
    <row r="723">
      <c r="B723" s="11"/>
      <c r="C723" s="11"/>
      <c r="D723" s="11"/>
      <c r="E723" s="11"/>
      <c r="F723" s="11"/>
    </row>
    <row r="724">
      <c r="B724" s="11"/>
      <c r="C724" s="11"/>
      <c r="D724" s="11"/>
      <c r="E724" s="11"/>
      <c r="F724" s="11"/>
    </row>
    <row r="725">
      <c r="B725" s="11"/>
      <c r="C725" s="11"/>
      <c r="D725" s="11"/>
      <c r="E725" s="11"/>
      <c r="F725" s="11"/>
    </row>
    <row r="726">
      <c r="B726" s="11"/>
      <c r="C726" s="11"/>
      <c r="D726" s="11"/>
      <c r="E726" s="11"/>
      <c r="F726" s="11"/>
    </row>
    <row r="727">
      <c r="B727" s="11"/>
      <c r="C727" s="11"/>
      <c r="D727" s="11"/>
      <c r="E727" s="11"/>
      <c r="F727" s="11"/>
    </row>
    <row r="728">
      <c r="B728" s="11"/>
      <c r="C728" s="11"/>
      <c r="D728" s="11"/>
      <c r="E728" s="11"/>
      <c r="F728" s="11"/>
    </row>
    <row r="729">
      <c r="B729" s="11"/>
      <c r="C729" s="11"/>
      <c r="D729" s="11"/>
      <c r="E729" s="11"/>
      <c r="F729" s="11"/>
    </row>
    <row r="730">
      <c r="B730" s="11"/>
      <c r="C730" s="11"/>
      <c r="D730" s="11"/>
      <c r="E730" s="11"/>
      <c r="F730" s="11"/>
    </row>
    <row r="731">
      <c r="B731" s="11"/>
      <c r="C731" s="11"/>
      <c r="D731" s="11"/>
      <c r="E731" s="11"/>
      <c r="F731" s="11"/>
    </row>
    <row r="732">
      <c r="B732" s="11"/>
      <c r="C732" s="11"/>
      <c r="D732" s="11"/>
      <c r="E732" s="11"/>
      <c r="F732" s="11"/>
    </row>
    <row r="733">
      <c r="B733" s="11"/>
      <c r="C733" s="11"/>
      <c r="D733" s="11"/>
      <c r="E733" s="11"/>
      <c r="F733" s="11"/>
    </row>
    <row r="734">
      <c r="B734" s="11"/>
      <c r="C734" s="11"/>
      <c r="D734" s="11"/>
      <c r="E734" s="11"/>
      <c r="F734" s="11"/>
    </row>
    <row r="735">
      <c r="B735" s="11"/>
      <c r="C735" s="11"/>
      <c r="D735" s="11"/>
      <c r="E735" s="11"/>
      <c r="F735" s="11"/>
    </row>
    <row r="736">
      <c r="B736" s="11"/>
      <c r="C736" s="11"/>
      <c r="D736" s="11"/>
      <c r="E736" s="11"/>
      <c r="F736" s="11"/>
    </row>
    <row r="737">
      <c r="B737" s="11"/>
      <c r="C737" s="11"/>
      <c r="D737" s="11"/>
      <c r="E737" s="11"/>
      <c r="F737" s="11"/>
    </row>
    <row r="738">
      <c r="B738" s="11"/>
      <c r="C738" s="11"/>
      <c r="D738" s="11"/>
      <c r="E738" s="11"/>
      <c r="F738" s="11"/>
    </row>
    <row r="739">
      <c r="B739" s="11"/>
      <c r="C739" s="11"/>
      <c r="D739" s="11"/>
      <c r="E739" s="11"/>
      <c r="F739" s="11"/>
    </row>
    <row r="740">
      <c r="B740" s="11"/>
      <c r="C740" s="11"/>
      <c r="D740" s="11"/>
      <c r="E740" s="11"/>
      <c r="F740" s="11"/>
    </row>
    <row r="741">
      <c r="B741" s="11"/>
      <c r="C741" s="11"/>
      <c r="D741" s="11"/>
      <c r="E741" s="11"/>
      <c r="F741" s="11"/>
    </row>
    <row r="742">
      <c r="B742" s="11"/>
      <c r="C742" s="11"/>
      <c r="D742" s="11"/>
      <c r="E742" s="11"/>
      <c r="F742" s="11"/>
    </row>
    <row r="743">
      <c r="B743" s="11"/>
      <c r="C743" s="11"/>
      <c r="D743" s="11"/>
      <c r="E743" s="11"/>
      <c r="F743" s="11"/>
    </row>
    <row r="744">
      <c r="B744" s="11"/>
      <c r="C744" s="11"/>
      <c r="D744" s="11"/>
      <c r="E744" s="11"/>
      <c r="F744" s="11"/>
    </row>
    <row r="745">
      <c r="B745" s="11"/>
      <c r="C745" s="11"/>
      <c r="D745" s="11"/>
      <c r="E745" s="11"/>
      <c r="F745" s="11"/>
    </row>
    <row r="746">
      <c r="B746" s="11"/>
      <c r="C746" s="11"/>
      <c r="D746" s="11"/>
      <c r="E746" s="11"/>
      <c r="F746" s="11"/>
    </row>
    <row r="747">
      <c r="B747" s="11"/>
      <c r="C747" s="11"/>
      <c r="D747" s="11"/>
      <c r="E747" s="11"/>
      <c r="F747" s="11"/>
    </row>
    <row r="748">
      <c r="B748" s="11"/>
      <c r="C748" s="11"/>
      <c r="D748" s="11"/>
      <c r="E748" s="11"/>
      <c r="F748" s="11"/>
    </row>
    <row r="749">
      <c r="B749" s="11"/>
      <c r="C749" s="11"/>
      <c r="D749" s="11"/>
      <c r="E749" s="11"/>
      <c r="F749" s="11"/>
    </row>
    <row r="750">
      <c r="B750" s="11"/>
      <c r="C750" s="11"/>
      <c r="D750" s="11"/>
      <c r="E750" s="11"/>
      <c r="F750" s="11"/>
    </row>
    <row r="751">
      <c r="B751" s="11"/>
      <c r="C751" s="11"/>
      <c r="D751" s="11"/>
      <c r="E751" s="11"/>
      <c r="F751" s="11"/>
    </row>
    <row r="752">
      <c r="B752" s="11"/>
      <c r="C752" s="11"/>
      <c r="D752" s="11"/>
      <c r="E752" s="11"/>
      <c r="F752" s="11"/>
    </row>
    <row r="753">
      <c r="B753" s="11"/>
      <c r="C753" s="11"/>
      <c r="D753" s="11"/>
      <c r="E753" s="11"/>
      <c r="F753" s="11"/>
    </row>
    <row r="754">
      <c r="B754" s="11"/>
      <c r="C754" s="11"/>
      <c r="D754" s="11"/>
      <c r="E754" s="11"/>
      <c r="F754" s="11"/>
    </row>
    <row r="755">
      <c r="B755" s="11"/>
      <c r="C755" s="11"/>
      <c r="D755" s="11"/>
      <c r="E755" s="11"/>
      <c r="F755" s="11"/>
    </row>
    <row r="756">
      <c r="B756" s="11"/>
      <c r="C756" s="11"/>
      <c r="D756" s="11"/>
      <c r="E756" s="11"/>
      <c r="F756" s="11"/>
    </row>
    <row r="757">
      <c r="B757" s="11"/>
      <c r="C757" s="11"/>
      <c r="D757" s="11"/>
      <c r="E757" s="11"/>
      <c r="F757" s="11"/>
    </row>
    <row r="758">
      <c r="B758" s="11"/>
      <c r="C758" s="11"/>
      <c r="D758" s="11"/>
      <c r="E758" s="11"/>
      <c r="F758" s="11"/>
    </row>
    <row r="759">
      <c r="B759" s="11"/>
      <c r="C759" s="11"/>
      <c r="D759" s="11"/>
      <c r="E759" s="11"/>
      <c r="F759" s="11"/>
    </row>
    <row r="760">
      <c r="B760" s="11"/>
      <c r="C760" s="11"/>
      <c r="D760" s="11"/>
      <c r="E760" s="11"/>
      <c r="F760" s="11"/>
    </row>
    <row r="761">
      <c r="B761" s="11"/>
      <c r="C761" s="11"/>
      <c r="D761" s="11"/>
      <c r="E761" s="11"/>
      <c r="F761" s="11"/>
    </row>
    <row r="762">
      <c r="B762" s="11"/>
      <c r="C762" s="11"/>
      <c r="D762" s="11"/>
      <c r="E762" s="11"/>
      <c r="F762" s="11"/>
    </row>
    <row r="763">
      <c r="B763" s="11"/>
      <c r="C763" s="11"/>
      <c r="D763" s="11"/>
      <c r="E763" s="11"/>
      <c r="F763" s="11"/>
    </row>
    <row r="764">
      <c r="B764" s="11"/>
      <c r="C764" s="11"/>
      <c r="D764" s="11"/>
      <c r="E764" s="11"/>
      <c r="F764" s="11"/>
    </row>
    <row r="765">
      <c r="B765" s="11"/>
      <c r="C765" s="11"/>
      <c r="D765" s="11"/>
      <c r="E765" s="11"/>
      <c r="F765" s="11"/>
    </row>
    <row r="766">
      <c r="B766" s="11"/>
      <c r="C766" s="11"/>
      <c r="D766" s="11"/>
      <c r="E766" s="11"/>
      <c r="F766" s="11"/>
    </row>
    <row r="767">
      <c r="B767" s="11"/>
      <c r="C767" s="11"/>
      <c r="D767" s="11"/>
      <c r="E767" s="11"/>
      <c r="F767" s="11"/>
    </row>
    <row r="768">
      <c r="B768" s="11"/>
      <c r="C768" s="11"/>
      <c r="D768" s="11"/>
      <c r="E768" s="11"/>
      <c r="F768" s="11"/>
    </row>
    <row r="769">
      <c r="B769" s="11"/>
      <c r="C769" s="11"/>
      <c r="D769" s="11"/>
      <c r="E769" s="11"/>
      <c r="F769" s="11"/>
    </row>
    <row r="770">
      <c r="B770" s="11"/>
      <c r="C770" s="11"/>
      <c r="D770" s="11"/>
      <c r="E770" s="11"/>
      <c r="F770" s="11"/>
    </row>
    <row r="771">
      <c r="B771" s="11"/>
      <c r="C771" s="11"/>
      <c r="D771" s="11"/>
      <c r="E771" s="11"/>
      <c r="F771" s="11"/>
    </row>
    <row r="772">
      <c r="B772" s="11"/>
      <c r="C772" s="11"/>
      <c r="D772" s="11"/>
      <c r="E772" s="11"/>
      <c r="F772" s="11"/>
    </row>
    <row r="773">
      <c r="B773" s="11"/>
      <c r="C773" s="11"/>
      <c r="D773" s="11"/>
      <c r="E773" s="11"/>
      <c r="F773" s="11"/>
    </row>
    <row r="774">
      <c r="B774" s="11"/>
      <c r="C774" s="11"/>
      <c r="D774" s="11"/>
      <c r="E774" s="11"/>
      <c r="F774" s="11"/>
    </row>
    <row r="775">
      <c r="B775" s="11"/>
      <c r="C775" s="11"/>
      <c r="D775" s="11"/>
      <c r="E775" s="11"/>
      <c r="F775" s="11"/>
    </row>
    <row r="776">
      <c r="B776" s="11"/>
      <c r="C776" s="11"/>
      <c r="D776" s="11"/>
      <c r="E776" s="11"/>
      <c r="F776" s="11"/>
    </row>
    <row r="777">
      <c r="B777" s="11"/>
      <c r="C777" s="11"/>
      <c r="D777" s="11"/>
      <c r="E777" s="11"/>
      <c r="F777" s="11"/>
    </row>
    <row r="778">
      <c r="B778" s="11"/>
      <c r="C778" s="11"/>
      <c r="D778" s="11"/>
      <c r="E778" s="11"/>
      <c r="F778" s="11"/>
    </row>
    <row r="779">
      <c r="B779" s="11"/>
      <c r="C779" s="11"/>
      <c r="D779" s="11"/>
      <c r="E779" s="11"/>
      <c r="F779" s="11"/>
    </row>
    <row r="780">
      <c r="B780" s="11"/>
      <c r="C780" s="11"/>
      <c r="D780" s="11"/>
      <c r="E780" s="11"/>
      <c r="F780" s="11"/>
    </row>
    <row r="781">
      <c r="B781" s="11"/>
      <c r="C781" s="11"/>
      <c r="D781" s="11"/>
      <c r="E781" s="11"/>
      <c r="F781" s="11"/>
    </row>
    <row r="782">
      <c r="B782" s="11"/>
      <c r="C782" s="11"/>
      <c r="D782" s="11"/>
      <c r="E782" s="11"/>
      <c r="F782" s="11"/>
    </row>
    <row r="783">
      <c r="B783" s="11"/>
      <c r="C783" s="11"/>
      <c r="D783" s="11"/>
      <c r="E783" s="11"/>
      <c r="F783" s="11"/>
    </row>
    <row r="784">
      <c r="B784" s="11"/>
      <c r="C784" s="11"/>
      <c r="D784" s="11"/>
      <c r="E784" s="11"/>
      <c r="F784" s="11"/>
    </row>
    <row r="785">
      <c r="B785" s="11"/>
      <c r="C785" s="11"/>
      <c r="D785" s="11"/>
      <c r="E785" s="11"/>
      <c r="F785" s="11"/>
    </row>
    <row r="786">
      <c r="B786" s="11"/>
      <c r="C786" s="11"/>
      <c r="D786" s="11"/>
      <c r="E786" s="11"/>
      <c r="F786" s="11"/>
    </row>
    <row r="787">
      <c r="B787" s="11"/>
      <c r="C787" s="11"/>
      <c r="D787" s="11"/>
      <c r="E787" s="11"/>
      <c r="F787" s="11"/>
    </row>
    <row r="788">
      <c r="B788" s="11"/>
      <c r="C788" s="11"/>
      <c r="D788" s="11"/>
      <c r="E788" s="11"/>
      <c r="F788" s="11"/>
    </row>
    <row r="789">
      <c r="B789" s="11"/>
      <c r="C789" s="11"/>
      <c r="D789" s="11"/>
      <c r="E789" s="11"/>
      <c r="F789" s="11"/>
    </row>
    <row r="790">
      <c r="B790" s="11"/>
      <c r="C790" s="11"/>
      <c r="D790" s="11"/>
      <c r="E790" s="11"/>
      <c r="F790" s="11"/>
    </row>
    <row r="791">
      <c r="B791" s="11"/>
      <c r="C791" s="11"/>
      <c r="D791" s="11"/>
      <c r="E791" s="11"/>
      <c r="F791" s="11"/>
    </row>
    <row r="792">
      <c r="B792" s="11"/>
      <c r="C792" s="11"/>
      <c r="D792" s="11"/>
      <c r="E792" s="11"/>
      <c r="F792" s="11"/>
    </row>
    <row r="793">
      <c r="B793" s="11"/>
      <c r="C793" s="11"/>
      <c r="D793" s="11"/>
      <c r="E793" s="11"/>
      <c r="F793" s="11"/>
    </row>
    <row r="794">
      <c r="B794" s="11"/>
      <c r="C794" s="11"/>
      <c r="D794" s="11"/>
      <c r="E794" s="11"/>
      <c r="F794" s="11"/>
    </row>
    <row r="795">
      <c r="B795" s="11"/>
      <c r="C795" s="11"/>
      <c r="D795" s="11"/>
      <c r="E795" s="11"/>
      <c r="F795" s="11"/>
    </row>
    <row r="796">
      <c r="B796" s="11"/>
      <c r="C796" s="11"/>
      <c r="D796" s="11"/>
      <c r="E796" s="11"/>
      <c r="F796" s="11"/>
    </row>
    <row r="797">
      <c r="B797" s="11"/>
      <c r="C797" s="11"/>
      <c r="D797" s="11"/>
      <c r="E797" s="11"/>
      <c r="F797" s="11"/>
    </row>
    <row r="798">
      <c r="B798" s="11"/>
      <c r="C798" s="11"/>
      <c r="D798" s="11"/>
      <c r="E798" s="11"/>
      <c r="F798" s="11"/>
    </row>
    <row r="799">
      <c r="B799" s="11"/>
      <c r="C799" s="11"/>
      <c r="D799" s="11"/>
      <c r="E799" s="11"/>
      <c r="F799" s="11"/>
    </row>
    <row r="800">
      <c r="B800" s="11"/>
      <c r="C800" s="11"/>
      <c r="D800" s="11"/>
      <c r="E800" s="11"/>
      <c r="F800" s="11"/>
    </row>
    <row r="801">
      <c r="B801" s="11"/>
      <c r="C801" s="11"/>
      <c r="D801" s="11"/>
      <c r="E801" s="11"/>
      <c r="F801" s="11"/>
    </row>
    <row r="802">
      <c r="B802" s="11"/>
      <c r="C802" s="11"/>
      <c r="D802" s="11"/>
      <c r="E802" s="11"/>
      <c r="F802" s="11"/>
    </row>
    <row r="803">
      <c r="B803" s="11"/>
      <c r="C803" s="11"/>
      <c r="D803" s="11"/>
      <c r="E803" s="11"/>
      <c r="F803" s="11"/>
    </row>
    <row r="804">
      <c r="B804" s="11"/>
      <c r="C804" s="11"/>
      <c r="D804" s="11"/>
      <c r="E804" s="11"/>
      <c r="F804" s="11"/>
    </row>
    <row r="805">
      <c r="B805" s="11"/>
      <c r="C805" s="11"/>
      <c r="D805" s="11"/>
      <c r="E805" s="11"/>
      <c r="F805" s="11"/>
    </row>
    <row r="806">
      <c r="B806" s="11"/>
      <c r="C806" s="11"/>
      <c r="D806" s="11"/>
      <c r="E806" s="11"/>
      <c r="F806" s="11"/>
    </row>
    <row r="807">
      <c r="B807" s="11"/>
      <c r="C807" s="11"/>
      <c r="D807" s="11"/>
      <c r="E807" s="11"/>
      <c r="F807" s="11"/>
    </row>
    <row r="808">
      <c r="B808" s="11"/>
      <c r="C808" s="11"/>
      <c r="D808" s="11"/>
      <c r="E808" s="11"/>
      <c r="F808" s="11"/>
    </row>
    <row r="809">
      <c r="B809" s="11"/>
      <c r="C809" s="11"/>
      <c r="D809" s="11"/>
      <c r="E809" s="11"/>
      <c r="F809" s="11"/>
    </row>
    <row r="810">
      <c r="B810" s="11"/>
      <c r="C810" s="11"/>
      <c r="D810" s="11"/>
      <c r="E810" s="11"/>
      <c r="F810" s="11"/>
    </row>
    <row r="811">
      <c r="B811" s="11"/>
      <c r="C811" s="11"/>
      <c r="D811" s="11"/>
      <c r="E811" s="11"/>
      <c r="F811" s="11"/>
    </row>
    <row r="812">
      <c r="B812" s="11"/>
      <c r="C812" s="11"/>
      <c r="D812" s="11"/>
      <c r="E812" s="11"/>
      <c r="F812" s="11"/>
    </row>
    <row r="813">
      <c r="B813" s="11"/>
      <c r="C813" s="11"/>
      <c r="D813" s="11"/>
      <c r="E813" s="11"/>
      <c r="F813" s="11"/>
    </row>
    <row r="814">
      <c r="B814" s="11"/>
      <c r="C814" s="11"/>
      <c r="D814" s="11"/>
      <c r="E814" s="11"/>
      <c r="F814" s="11"/>
    </row>
    <row r="815">
      <c r="B815" s="11"/>
      <c r="C815" s="11"/>
      <c r="D815" s="11"/>
      <c r="E815" s="11"/>
      <c r="F815" s="11"/>
    </row>
    <row r="816">
      <c r="B816" s="11"/>
      <c r="C816" s="11"/>
      <c r="D816" s="11"/>
      <c r="E816" s="11"/>
      <c r="F816" s="11"/>
    </row>
    <row r="817">
      <c r="B817" s="11"/>
      <c r="C817" s="11"/>
      <c r="D817" s="11"/>
      <c r="E817" s="11"/>
      <c r="F817" s="11"/>
    </row>
    <row r="818">
      <c r="B818" s="11"/>
      <c r="C818" s="11"/>
      <c r="D818" s="11"/>
      <c r="E818" s="11"/>
      <c r="F818" s="11"/>
    </row>
    <row r="819">
      <c r="B819" s="11"/>
      <c r="C819" s="11"/>
      <c r="D819" s="11"/>
      <c r="E819" s="11"/>
      <c r="F819" s="11"/>
    </row>
    <row r="820">
      <c r="B820" s="11"/>
      <c r="C820" s="11"/>
      <c r="D820" s="11"/>
      <c r="E820" s="11"/>
      <c r="F820" s="11"/>
    </row>
    <row r="821">
      <c r="B821" s="11"/>
      <c r="C821" s="11"/>
      <c r="D821" s="11"/>
      <c r="E821" s="11"/>
      <c r="F821" s="11"/>
    </row>
    <row r="822">
      <c r="B822" s="11"/>
      <c r="C822" s="11"/>
      <c r="D822" s="11"/>
      <c r="E822" s="11"/>
      <c r="F822" s="11"/>
    </row>
    <row r="823">
      <c r="B823" s="11"/>
      <c r="C823" s="11"/>
      <c r="D823" s="11"/>
      <c r="E823" s="11"/>
      <c r="F823" s="11"/>
    </row>
    <row r="824">
      <c r="B824" s="11"/>
      <c r="C824" s="11"/>
      <c r="D824" s="11"/>
      <c r="E824" s="11"/>
      <c r="F824" s="11"/>
    </row>
    <row r="825">
      <c r="B825" s="11"/>
      <c r="C825" s="11"/>
      <c r="D825" s="11"/>
      <c r="E825" s="11"/>
      <c r="F825" s="11"/>
    </row>
    <row r="826">
      <c r="B826" s="11"/>
      <c r="C826" s="11"/>
      <c r="D826" s="11"/>
      <c r="E826" s="11"/>
      <c r="F826" s="11"/>
    </row>
    <row r="827">
      <c r="B827" s="11"/>
      <c r="C827" s="11"/>
      <c r="D827" s="11"/>
      <c r="E827" s="11"/>
      <c r="F827" s="11"/>
    </row>
    <row r="828">
      <c r="B828" s="11"/>
      <c r="C828" s="11"/>
      <c r="D828" s="11"/>
      <c r="E828" s="11"/>
      <c r="F828" s="11"/>
    </row>
    <row r="829">
      <c r="B829" s="11"/>
      <c r="C829" s="11"/>
      <c r="D829" s="11"/>
      <c r="E829" s="11"/>
      <c r="F829" s="11"/>
    </row>
    <row r="830">
      <c r="B830" s="11"/>
      <c r="C830" s="11"/>
      <c r="D830" s="11"/>
      <c r="E830" s="11"/>
      <c r="F830" s="11"/>
    </row>
    <row r="831">
      <c r="B831" s="11"/>
      <c r="C831" s="11"/>
      <c r="D831" s="11"/>
      <c r="E831" s="11"/>
      <c r="F831" s="11"/>
    </row>
    <row r="832">
      <c r="B832" s="11"/>
      <c r="C832" s="11"/>
      <c r="D832" s="11"/>
      <c r="E832" s="11"/>
      <c r="F832" s="11"/>
    </row>
    <row r="833">
      <c r="B833" s="11"/>
      <c r="C833" s="11"/>
      <c r="D833" s="11"/>
      <c r="E833" s="11"/>
      <c r="F833" s="11"/>
    </row>
    <row r="834">
      <c r="B834" s="11"/>
      <c r="C834" s="11"/>
      <c r="D834" s="11"/>
      <c r="E834" s="11"/>
      <c r="F834" s="11"/>
    </row>
    <row r="835">
      <c r="B835" s="11"/>
      <c r="C835" s="11"/>
      <c r="D835" s="11"/>
      <c r="E835" s="11"/>
      <c r="F835" s="11"/>
    </row>
    <row r="836">
      <c r="B836" s="11"/>
      <c r="C836" s="11"/>
      <c r="D836" s="11"/>
      <c r="E836" s="11"/>
      <c r="F836" s="11"/>
    </row>
    <row r="837">
      <c r="B837" s="11"/>
      <c r="C837" s="11"/>
      <c r="D837" s="11"/>
      <c r="E837" s="11"/>
      <c r="F837" s="11"/>
    </row>
    <row r="838">
      <c r="B838" s="11"/>
      <c r="C838" s="11"/>
      <c r="D838" s="11"/>
      <c r="E838" s="11"/>
      <c r="F838" s="11"/>
    </row>
    <row r="839">
      <c r="B839" s="11"/>
      <c r="C839" s="11"/>
      <c r="D839" s="11"/>
      <c r="E839" s="11"/>
      <c r="F839" s="11"/>
    </row>
    <row r="840">
      <c r="B840" s="11"/>
      <c r="C840" s="11"/>
      <c r="D840" s="11"/>
      <c r="E840" s="11"/>
      <c r="F840" s="11"/>
    </row>
    <row r="841">
      <c r="B841" s="11"/>
      <c r="C841" s="11"/>
      <c r="D841" s="11"/>
      <c r="E841" s="11"/>
      <c r="F841" s="11"/>
    </row>
    <row r="842">
      <c r="B842" s="11"/>
      <c r="C842" s="11"/>
      <c r="D842" s="11"/>
      <c r="E842" s="11"/>
      <c r="F842" s="11"/>
    </row>
    <row r="843">
      <c r="B843" s="11"/>
      <c r="C843" s="11"/>
      <c r="D843" s="11"/>
      <c r="E843" s="11"/>
      <c r="F843" s="11"/>
    </row>
    <row r="844">
      <c r="B844" s="11"/>
      <c r="C844" s="11"/>
      <c r="D844" s="11"/>
      <c r="E844" s="11"/>
      <c r="F844" s="11"/>
    </row>
    <row r="845">
      <c r="B845" s="11"/>
      <c r="C845" s="11"/>
      <c r="D845" s="11"/>
      <c r="E845" s="11"/>
      <c r="F845" s="11"/>
    </row>
    <row r="846">
      <c r="B846" s="11"/>
      <c r="C846" s="11"/>
      <c r="D846" s="11"/>
      <c r="E846" s="11"/>
      <c r="F846" s="11"/>
    </row>
    <row r="847">
      <c r="B847" s="11"/>
      <c r="C847" s="11"/>
      <c r="D847" s="11"/>
      <c r="E847" s="11"/>
      <c r="F847" s="11"/>
    </row>
    <row r="848">
      <c r="B848" s="11"/>
      <c r="C848" s="11"/>
      <c r="D848" s="11"/>
      <c r="E848" s="11"/>
      <c r="F848" s="11"/>
    </row>
    <row r="849">
      <c r="B849" s="11"/>
      <c r="C849" s="11"/>
      <c r="D849" s="11"/>
      <c r="E849" s="11"/>
      <c r="F849" s="11"/>
    </row>
    <row r="850">
      <c r="B850" s="11"/>
      <c r="C850" s="11"/>
      <c r="D850" s="11"/>
      <c r="E850" s="11"/>
      <c r="F850" s="11"/>
    </row>
    <row r="851">
      <c r="B851" s="11"/>
      <c r="C851" s="11"/>
      <c r="D851" s="11"/>
      <c r="E851" s="11"/>
      <c r="F851" s="11"/>
    </row>
    <row r="852">
      <c r="B852" s="11"/>
      <c r="C852" s="11"/>
      <c r="D852" s="11"/>
      <c r="E852" s="11"/>
      <c r="F852" s="11"/>
    </row>
    <row r="853">
      <c r="B853" s="11"/>
      <c r="C853" s="11"/>
      <c r="D853" s="11"/>
      <c r="E853" s="11"/>
      <c r="F853" s="11"/>
    </row>
    <row r="854">
      <c r="B854" s="11"/>
      <c r="C854" s="11"/>
      <c r="D854" s="11"/>
      <c r="E854" s="11"/>
      <c r="F854" s="11"/>
    </row>
    <row r="855">
      <c r="B855" s="11"/>
      <c r="C855" s="11"/>
      <c r="D855" s="11"/>
      <c r="E855" s="11"/>
      <c r="F855" s="11"/>
    </row>
    <row r="856">
      <c r="B856" s="11"/>
      <c r="C856" s="11"/>
      <c r="D856" s="11"/>
      <c r="E856" s="11"/>
      <c r="F856" s="11"/>
    </row>
    <row r="857">
      <c r="B857" s="11"/>
      <c r="C857" s="11"/>
      <c r="D857" s="11"/>
      <c r="E857" s="11"/>
      <c r="F857" s="11"/>
    </row>
    <row r="858">
      <c r="B858" s="11"/>
      <c r="C858" s="11"/>
      <c r="D858" s="11"/>
      <c r="E858" s="11"/>
      <c r="F858" s="11"/>
    </row>
    <row r="859">
      <c r="B859" s="11"/>
      <c r="C859" s="11"/>
      <c r="D859" s="11"/>
      <c r="E859" s="11"/>
      <c r="F859" s="11"/>
    </row>
    <row r="860">
      <c r="B860" s="11"/>
      <c r="C860" s="11"/>
      <c r="D860" s="11"/>
      <c r="E860" s="11"/>
      <c r="F860" s="11"/>
    </row>
    <row r="861">
      <c r="B861" s="11"/>
      <c r="C861" s="11"/>
      <c r="D861" s="11"/>
      <c r="E861" s="11"/>
      <c r="F861" s="11"/>
    </row>
    <row r="862">
      <c r="B862" s="11"/>
      <c r="C862" s="11"/>
      <c r="D862" s="11"/>
      <c r="E862" s="11"/>
      <c r="F862" s="11"/>
    </row>
    <row r="863">
      <c r="B863" s="11"/>
      <c r="C863" s="11"/>
      <c r="D863" s="11"/>
      <c r="E863" s="11"/>
      <c r="F863" s="11"/>
    </row>
    <row r="864">
      <c r="B864" s="11"/>
      <c r="C864" s="11"/>
      <c r="D864" s="11"/>
      <c r="E864" s="11"/>
      <c r="F864" s="11"/>
    </row>
    <row r="865">
      <c r="B865" s="11"/>
      <c r="C865" s="11"/>
      <c r="D865" s="11"/>
      <c r="E865" s="11"/>
      <c r="F865" s="11"/>
    </row>
    <row r="866">
      <c r="B866" s="11"/>
      <c r="C866" s="11"/>
      <c r="D866" s="11"/>
      <c r="E866" s="11"/>
      <c r="F866" s="11"/>
    </row>
    <row r="867">
      <c r="B867" s="11"/>
      <c r="C867" s="11"/>
      <c r="D867" s="11"/>
      <c r="E867" s="11"/>
      <c r="F867" s="11"/>
    </row>
    <row r="868">
      <c r="B868" s="11"/>
      <c r="C868" s="11"/>
      <c r="D868" s="11"/>
      <c r="E868" s="11"/>
      <c r="F868" s="11"/>
    </row>
    <row r="869">
      <c r="B869" s="11"/>
      <c r="C869" s="11"/>
      <c r="D869" s="11"/>
      <c r="E869" s="11"/>
      <c r="F869" s="11"/>
    </row>
    <row r="870">
      <c r="B870" s="11"/>
      <c r="C870" s="11"/>
      <c r="D870" s="11"/>
      <c r="E870" s="11"/>
      <c r="F870" s="11"/>
    </row>
    <row r="871">
      <c r="B871" s="11"/>
      <c r="C871" s="11"/>
      <c r="D871" s="11"/>
      <c r="E871" s="11"/>
      <c r="F871" s="11"/>
    </row>
    <row r="872">
      <c r="B872" s="11"/>
      <c r="C872" s="11"/>
      <c r="D872" s="11"/>
      <c r="E872" s="11"/>
      <c r="F872" s="11"/>
    </row>
    <row r="873">
      <c r="B873" s="11"/>
      <c r="C873" s="11"/>
      <c r="D873" s="11"/>
      <c r="E873" s="11"/>
      <c r="F873" s="11"/>
    </row>
    <row r="874">
      <c r="B874" s="11"/>
      <c r="C874" s="11"/>
      <c r="D874" s="11"/>
      <c r="E874" s="11"/>
      <c r="F874" s="11"/>
    </row>
    <row r="875">
      <c r="B875" s="11"/>
      <c r="C875" s="11"/>
      <c r="D875" s="11"/>
      <c r="E875" s="11"/>
      <c r="F875" s="11"/>
    </row>
    <row r="876">
      <c r="B876" s="11"/>
      <c r="C876" s="11"/>
      <c r="D876" s="11"/>
      <c r="E876" s="11"/>
      <c r="F876" s="11"/>
    </row>
    <row r="877">
      <c r="B877" s="11"/>
      <c r="C877" s="11"/>
      <c r="D877" s="11"/>
      <c r="E877" s="11"/>
      <c r="F877" s="11"/>
    </row>
    <row r="878">
      <c r="B878" s="11"/>
      <c r="C878" s="11"/>
      <c r="D878" s="11"/>
      <c r="E878" s="11"/>
      <c r="F878" s="11"/>
    </row>
    <row r="879">
      <c r="B879" s="11"/>
      <c r="C879" s="11"/>
      <c r="D879" s="11"/>
      <c r="E879" s="11"/>
      <c r="F879" s="11"/>
    </row>
    <row r="880">
      <c r="B880" s="11"/>
      <c r="C880" s="11"/>
      <c r="D880" s="11"/>
      <c r="E880" s="11"/>
      <c r="F880" s="11"/>
    </row>
    <row r="881">
      <c r="B881" s="11"/>
      <c r="C881" s="11"/>
      <c r="D881" s="11"/>
      <c r="E881" s="11"/>
      <c r="F881" s="11"/>
    </row>
    <row r="882">
      <c r="B882" s="11"/>
      <c r="C882" s="11"/>
      <c r="D882" s="11"/>
      <c r="E882" s="11"/>
      <c r="F882" s="11"/>
    </row>
    <row r="883">
      <c r="B883" s="11"/>
      <c r="C883" s="11"/>
      <c r="D883" s="11"/>
      <c r="E883" s="11"/>
      <c r="F883" s="11"/>
    </row>
    <row r="884">
      <c r="B884" s="11"/>
      <c r="C884" s="11"/>
      <c r="D884" s="11"/>
      <c r="E884" s="11"/>
      <c r="F884" s="11"/>
    </row>
    <row r="885">
      <c r="B885" s="11"/>
      <c r="C885" s="11"/>
      <c r="D885" s="11"/>
      <c r="E885" s="11"/>
      <c r="F885" s="11"/>
    </row>
    <row r="886">
      <c r="B886" s="11"/>
      <c r="C886" s="11"/>
      <c r="D886" s="11"/>
      <c r="E886" s="11"/>
      <c r="F886" s="11"/>
    </row>
    <row r="887">
      <c r="B887" s="11"/>
      <c r="C887" s="11"/>
      <c r="D887" s="11"/>
      <c r="E887" s="11"/>
      <c r="F887" s="11"/>
    </row>
    <row r="888">
      <c r="B888" s="11"/>
      <c r="C888" s="11"/>
      <c r="D888" s="11"/>
      <c r="E888" s="11"/>
      <c r="F888" s="11"/>
    </row>
    <row r="889">
      <c r="B889" s="11"/>
      <c r="C889" s="11"/>
      <c r="D889" s="11"/>
      <c r="E889" s="11"/>
      <c r="F889" s="11"/>
    </row>
    <row r="890">
      <c r="B890" s="11"/>
      <c r="C890" s="11"/>
      <c r="D890" s="11"/>
      <c r="E890" s="11"/>
      <c r="F890" s="11"/>
    </row>
    <row r="891">
      <c r="B891" s="11"/>
      <c r="C891" s="11"/>
      <c r="D891" s="11"/>
      <c r="E891" s="11"/>
      <c r="F891" s="11"/>
    </row>
    <row r="892">
      <c r="B892" s="11"/>
      <c r="C892" s="11"/>
      <c r="D892" s="11"/>
      <c r="E892" s="11"/>
      <c r="F892" s="11"/>
    </row>
    <row r="893">
      <c r="B893" s="11"/>
      <c r="C893" s="11"/>
      <c r="D893" s="11"/>
      <c r="E893" s="11"/>
      <c r="F893" s="11"/>
    </row>
    <row r="894">
      <c r="B894" s="11"/>
      <c r="C894" s="11"/>
      <c r="D894" s="11"/>
      <c r="E894" s="11"/>
      <c r="F894" s="11"/>
    </row>
    <row r="895">
      <c r="B895" s="11"/>
      <c r="C895" s="11"/>
      <c r="D895" s="11"/>
      <c r="E895" s="11"/>
      <c r="F895" s="11"/>
    </row>
    <row r="896">
      <c r="B896" s="11"/>
      <c r="C896" s="11"/>
      <c r="D896" s="11"/>
      <c r="E896" s="11"/>
      <c r="F896" s="11"/>
    </row>
    <row r="897">
      <c r="B897" s="11"/>
      <c r="C897" s="11"/>
      <c r="D897" s="11"/>
      <c r="E897" s="11"/>
      <c r="F897" s="11"/>
    </row>
    <row r="898">
      <c r="B898" s="11"/>
      <c r="C898" s="11"/>
      <c r="D898" s="11"/>
      <c r="E898" s="11"/>
      <c r="F898" s="11"/>
    </row>
    <row r="899">
      <c r="B899" s="11"/>
      <c r="C899" s="11"/>
      <c r="D899" s="11"/>
      <c r="E899" s="11"/>
      <c r="F899" s="11"/>
    </row>
    <row r="900">
      <c r="B900" s="11"/>
      <c r="C900" s="11"/>
      <c r="D900" s="11"/>
      <c r="E900" s="11"/>
      <c r="F900" s="11"/>
    </row>
    <row r="901">
      <c r="B901" s="11"/>
      <c r="C901" s="11"/>
      <c r="D901" s="11"/>
      <c r="E901" s="11"/>
      <c r="F901" s="11"/>
    </row>
    <row r="902">
      <c r="B902" s="11"/>
      <c r="C902" s="11"/>
      <c r="D902" s="11"/>
      <c r="E902" s="11"/>
      <c r="F902" s="11"/>
    </row>
    <row r="903">
      <c r="B903" s="11"/>
      <c r="C903" s="11"/>
      <c r="D903" s="11"/>
      <c r="E903" s="11"/>
      <c r="F903" s="11"/>
    </row>
    <row r="904">
      <c r="B904" s="11"/>
      <c r="C904" s="11"/>
      <c r="D904" s="11"/>
      <c r="E904" s="11"/>
      <c r="F904" s="11"/>
    </row>
    <row r="905">
      <c r="B905" s="11"/>
      <c r="C905" s="11"/>
      <c r="D905" s="11"/>
      <c r="E905" s="11"/>
      <c r="F905" s="11"/>
    </row>
    <row r="906">
      <c r="B906" s="11"/>
      <c r="C906" s="11"/>
      <c r="D906" s="11"/>
      <c r="E906" s="11"/>
      <c r="F906" s="11"/>
    </row>
    <row r="907">
      <c r="B907" s="11"/>
      <c r="C907" s="11"/>
      <c r="D907" s="11"/>
      <c r="E907" s="11"/>
      <c r="F907" s="11"/>
    </row>
    <row r="908">
      <c r="B908" s="11"/>
      <c r="C908" s="11"/>
      <c r="D908" s="11"/>
      <c r="E908" s="11"/>
      <c r="F908" s="11"/>
    </row>
    <row r="909">
      <c r="B909" s="11"/>
      <c r="C909" s="11"/>
      <c r="D909" s="11"/>
      <c r="E909" s="11"/>
      <c r="F909" s="11"/>
    </row>
    <row r="910">
      <c r="B910" s="11"/>
      <c r="C910" s="11"/>
      <c r="D910" s="11"/>
      <c r="E910" s="11"/>
      <c r="F910" s="11"/>
    </row>
    <row r="911">
      <c r="B911" s="11"/>
      <c r="C911" s="11"/>
      <c r="D911" s="11"/>
      <c r="E911" s="11"/>
      <c r="F911" s="11"/>
    </row>
    <row r="912">
      <c r="B912" s="11"/>
      <c r="C912" s="11"/>
      <c r="D912" s="11"/>
      <c r="E912" s="11"/>
      <c r="F912" s="11"/>
    </row>
    <row r="913">
      <c r="B913" s="11"/>
      <c r="C913" s="11"/>
      <c r="D913" s="11"/>
      <c r="E913" s="11"/>
      <c r="F913" s="11"/>
    </row>
    <row r="914">
      <c r="B914" s="11"/>
      <c r="C914" s="11"/>
      <c r="D914" s="11"/>
      <c r="E914" s="11"/>
      <c r="F914" s="11"/>
    </row>
    <row r="915">
      <c r="B915" s="11"/>
      <c r="C915" s="11"/>
      <c r="D915" s="11"/>
      <c r="E915" s="11"/>
      <c r="F915" s="11"/>
    </row>
    <row r="916">
      <c r="B916" s="11"/>
      <c r="C916" s="11"/>
      <c r="D916" s="11"/>
      <c r="E916" s="11"/>
      <c r="F916" s="11"/>
    </row>
    <row r="917">
      <c r="B917" s="11"/>
      <c r="C917" s="11"/>
      <c r="D917" s="11"/>
      <c r="E917" s="11"/>
      <c r="F917" s="11"/>
    </row>
    <row r="918">
      <c r="B918" s="11"/>
      <c r="C918" s="11"/>
      <c r="D918" s="11"/>
      <c r="E918" s="11"/>
      <c r="F918" s="11"/>
    </row>
    <row r="919">
      <c r="B919" s="11"/>
      <c r="C919" s="11"/>
      <c r="D919" s="11"/>
      <c r="E919" s="11"/>
      <c r="F919" s="11"/>
    </row>
    <row r="920">
      <c r="B920" s="11"/>
      <c r="C920" s="11"/>
      <c r="D920" s="11"/>
      <c r="E920" s="11"/>
      <c r="F920" s="11"/>
    </row>
    <row r="921">
      <c r="B921" s="11"/>
      <c r="C921" s="11"/>
      <c r="D921" s="11"/>
      <c r="E921" s="11"/>
      <c r="F921" s="11"/>
    </row>
    <row r="922">
      <c r="B922" s="11"/>
      <c r="C922" s="11"/>
      <c r="D922" s="11"/>
      <c r="E922" s="11"/>
      <c r="F922" s="11"/>
    </row>
    <row r="923">
      <c r="B923" s="11"/>
      <c r="C923" s="11"/>
      <c r="D923" s="11"/>
      <c r="E923" s="11"/>
      <c r="F923" s="11"/>
    </row>
    <row r="924">
      <c r="B924" s="11"/>
      <c r="C924" s="11"/>
      <c r="D924" s="11"/>
      <c r="E924" s="11"/>
      <c r="F924" s="11"/>
    </row>
    <row r="925">
      <c r="B925" s="11"/>
      <c r="C925" s="11"/>
      <c r="D925" s="11"/>
      <c r="E925" s="11"/>
      <c r="F925" s="11"/>
    </row>
    <row r="926">
      <c r="B926" s="11"/>
      <c r="C926" s="11"/>
      <c r="D926" s="11"/>
      <c r="E926" s="11"/>
      <c r="F926" s="11"/>
    </row>
    <row r="927">
      <c r="B927" s="11"/>
      <c r="C927" s="11"/>
      <c r="D927" s="11"/>
      <c r="E927" s="11"/>
      <c r="F927" s="11"/>
    </row>
    <row r="928">
      <c r="B928" s="11"/>
      <c r="C928" s="11"/>
      <c r="D928" s="11"/>
      <c r="E928" s="11"/>
      <c r="F928" s="11"/>
    </row>
    <row r="929">
      <c r="B929" s="11"/>
      <c r="C929" s="11"/>
      <c r="D929" s="11"/>
      <c r="E929" s="11"/>
      <c r="F929" s="11"/>
    </row>
    <row r="930">
      <c r="B930" s="11"/>
      <c r="C930" s="11"/>
      <c r="D930" s="11"/>
      <c r="E930" s="11"/>
      <c r="F930" s="11"/>
    </row>
    <row r="931">
      <c r="B931" s="11"/>
      <c r="C931" s="11"/>
      <c r="D931" s="11"/>
      <c r="E931" s="11"/>
      <c r="F931" s="11"/>
    </row>
    <row r="932">
      <c r="B932" s="11"/>
      <c r="C932" s="11"/>
      <c r="D932" s="11"/>
      <c r="E932" s="11"/>
      <c r="F932" s="11"/>
    </row>
    <row r="933">
      <c r="B933" s="11"/>
      <c r="C933" s="11"/>
      <c r="D933" s="11"/>
      <c r="E933" s="11"/>
      <c r="F933" s="11"/>
    </row>
    <row r="934">
      <c r="B934" s="11"/>
      <c r="C934" s="11"/>
      <c r="D934" s="11"/>
      <c r="E934" s="11"/>
      <c r="F934" s="11"/>
    </row>
    <row r="935">
      <c r="B935" s="11"/>
      <c r="C935" s="11"/>
      <c r="D935" s="11"/>
      <c r="E935" s="11"/>
      <c r="F935" s="11"/>
    </row>
    <row r="936">
      <c r="B936" s="11"/>
      <c r="C936" s="11"/>
      <c r="D936" s="11"/>
      <c r="E936" s="11"/>
      <c r="F936" s="11"/>
    </row>
    <row r="937">
      <c r="B937" s="11"/>
      <c r="C937" s="11"/>
      <c r="D937" s="11"/>
      <c r="E937" s="11"/>
      <c r="F937" s="11"/>
    </row>
    <row r="938">
      <c r="B938" s="11"/>
      <c r="C938" s="11"/>
      <c r="D938" s="11"/>
      <c r="E938" s="11"/>
      <c r="F938" s="11"/>
    </row>
    <row r="939">
      <c r="B939" s="11"/>
      <c r="C939" s="11"/>
      <c r="D939" s="11"/>
      <c r="E939" s="11"/>
      <c r="F939" s="11"/>
    </row>
    <row r="940">
      <c r="B940" s="11"/>
      <c r="C940" s="11"/>
      <c r="D940" s="11"/>
      <c r="E940" s="11"/>
      <c r="F940" s="11"/>
    </row>
    <row r="941">
      <c r="B941" s="11"/>
      <c r="C941" s="11"/>
      <c r="D941" s="11"/>
      <c r="E941" s="11"/>
      <c r="F941" s="11"/>
    </row>
    <row r="942">
      <c r="B942" s="11"/>
      <c r="C942" s="11"/>
      <c r="D942" s="11"/>
      <c r="E942" s="11"/>
      <c r="F942" s="11"/>
    </row>
    <row r="943">
      <c r="B943" s="11"/>
      <c r="C943" s="11"/>
      <c r="D943" s="11"/>
      <c r="E943" s="11"/>
      <c r="F943" s="11"/>
    </row>
    <row r="944">
      <c r="B944" s="11"/>
      <c r="C944" s="11"/>
      <c r="D944" s="11"/>
      <c r="E944" s="11"/>
      <c r="F944" s="11"/>
    </row>
    <row r="945">
      <c r="B945" s="11"/>
      <c r="C945" s="11"/>
      <c r="D945" s="11"/>
      <c r="E945" s="11"/>
      <c r="F945" s="11"/>
    </row>
    <row r="946">
      <c r="B946" s="11"/>
      <c r="C946" s="11"/>
      <c r="D946" s="11"/>
      <c r="E946" s="11"/>
      <c r="F946" s="11"/>
    </row>
    <row r="947">
      <c r="B947" s="11"/>
      <c r="C947" s="11"/>
      <c r="D947" s="11"/>
      <c r="E947" s="11"/>
      <c r="F947" s="11"/>
    </row>
    <row r="948">
      <c r="B948" s="11"/>
      <c r="C948" s="11"/>
      <c r="D948" s="11"/>
      <c r="E948" s="11"/>
      <c r="F948" s="11"/>
    </row>
    <row r="949">
      <c r="B949" s="11"/>
      <c r="C949" s="11"/>
      <c r="D949" s="11"/>
      <c r="E949" s="11"/>
      <c r="F949" s="11"/>
    </row>
    <row r="950">
      <c r="B950" s="11"/>
      <c r="C950" s="11"/>
      <c r="D950" s="11"/>
      <c r="E950" s="11"/>
      <c r="F950" s="11"/>
    </row>
    <row r="951">
      <c r="B951" s="11"/>
      <c r="C951" s="11"/>
      <c r="D951" s="11"/>
      <c r="E951" s="11"/>
      <c r="F951" s="11"/>
    </row>
    <row r="952">
      <c r="B952" s="11"/>
      <c r="C952" s="11"/>
      <c r="D952" s="11"/>
      <c r="E952" s="11"/>
      <c r="F952" s="11"/>
    </row>
    <row r="953">
      <c r="B953" s="11"/>
      <c r="C953" s="11"/>
      <c r="D953" s="11"/>
      <c r="E953" s="11"/>
      <c r="F953" s="11"/>
    </row>
    <row r="954">
      <c r="B954" s="11"/>
      <c r="C954" s="11"/>
      <c r="D954" s="11"/>
      <c r="E954" s="11"/>
      <c r="F954" s="11"/>
    </row>
    <row r="955">
      <c r="B955" s="11"/>
      <c r="C955" s="11"/>
      <c r="D955" s="11"/>
      <c r="E955" s="11"/>
      <c r="F955" s="11"/>
    </row>
    <row r="956">
      <c r="B956" s="11"/>
      <c r="C956" s="11"/>
      <c r="D956" s="11"/>
      <c r="E956" s="11"/>
      <c r="F956" s="11"/>
    </row>
    <row r="957">
      <c r="B957" s="11"/>
      <c r="C957" s="11"/>
      <c r="D957" s="11"/>
      <c r="E957" s="11"/>
      <c r="F957" s="11"/>
    </row>
    <row r="958">
      <c r="B958" s="11"/>
      <c r="C958" s="11"/>
      <c r="D958" s="11"/>
      <c r="E958" s="11"/>
      <c r="F958" s="11"/>
    </row>
    <row r="959">
      <c r="B959" s="11"/>
      <c r="C959" s="11"/>
      <c r="D959" s="11"/>
      <c r="E959" s="11"/>
      <c r="F959" s="11"/>
    </row>
    <row r="960">
      <c r="B960" s="11"/>
      <c r="C960" s="11"/>
      <c r="D960" s="11"/>
      <c r="E960" s="11"/>
      <c r="F960" s="11"/>
    </row>
    <row r="961">
      <c r="B961" s="11"/>
      <c r="C961" s="11"/>
      <c r="D961" s="11"/>
      <c r="E961" s="11"/>
      <c r="F961" s="11"/>
    </row>
    <row r="962">
      <c r="B962" s="11"/>
      <c r="C962" s="11"/>
      <c r="D962" s="11"/>
      <c r="E962" s="11"/>
      <c r="F962" s="11"/>
    </row>
    <row r="963">
      <c r="B963" s="11"/>
      <c r="C963" s="11"/>
      <c r="D963" s="11"/>
      <c r="E963" s="11"/>
      <c r="F963" s="11"/>
    </row>
    <row r="964">
      <c r="B964" s="11"/>
      <c r="C964" s="11"/>
      <c r="D964" s="11"/>
      <c r="E964" s="11"/>
      <c r="F964" s="11"/>
    </row>
    <row r="965">
      <c r="B965" s="11"/>
      <c r="C965" s="11"/>
      <c r="D965" s="11"/>
      <c r="E965" s="11"/>
      <c r="F965" s="11"/>
    </row>
    <row r="966">
      <c r="B966" s="11"/>
      <c r="C966" s="11"/>
      <c r="D966" s="11"/>
      <c r="E966" s="11"/>
      <c r="F966" s="11"/>
    </row>
    <row r="967">
      <c r="B967" s="11"/>
      <c r="C967" s="11"/>
      <c r="D967" s="11"/>
      <c r="E967" s="11"/>
      <c r="F967" s="11"/>
    </row>
    <row r="968">
      <c r="B968" s="11"/>
      <c r="C968" s="11"/>
      <c r="D968" s="11"/>
      <c r="E968" s="11"/>
      <c r="F968" s="11"/>
    </row>
    <row r="969">
      <c r="B969" s="11"/>
      <c r="C969" s="11"/>
      <c r="D969" s="11"/>
      <c r="E969" s="11"/>
      <c r="F969" s="11"/>
    </row>
    <row r="970">
      <c r="B970" s="11"/>
      <c r="C970" s="11"/>
      <c r="D970" s="11"/>
      <c r="E970" s="11"/>
      <c r="F970" s="11"/>
    </row>
    <row r="971">
      <c r="B971" s="11"/>
      <c r="C971" s="11"/>
      <c r="D971" s="11"/>
      <c r="E971" s="11"/>
      <c r="F971" s="11"/>
    </row>
    <row r="972">
      <c r="B972" s="11"/>
      <c r="C972" s="11"/>
      <c r="D972" s="11"/>
      <c r="E972" s="11"/>
      <c r="F972" s="11"/>
    </row>
    <row r="973">
      <c r="B973" s="11"/>
      <c r="C973" s="11"/>
      <c r="D973" s="11"/>
      <c r="E973" s="11"/>
      <c r="F973" s="11"/>
    </row>
    <row r="974">
      <c r="B974" s="11"/>
      <c r="C974" s="11"/>
      <c r="D974" s="11"/>
      <c r="E974" s="11"/>
      <c r="F974" s="11"/>
    </row>
    <row r="975">
      <c r="B975" s="11"/>
      <c r="C975" s="11"/>
      <c r="D975" s="11"/>
      <c r="E975" s="11"/>
      <c r="F975" s="11"/>
    </row>
    <row r="976">
      <c r="B976" s="11"/>
      <c r="C976" s="11"/>
      <c r="D976" s="11"/>
      <c r="E976" s="11"/>
      <c r="F976" s="11"/>
    </row>
    <row r="977">
      <c r="B977" s="11"/>
      <c r="C977" s="11"/>
      <c r="D977" s="11"/>
      <c r="E977" s="11"/>
      <c r="F977" s="11"/>
    </row>
    <row r="978">
      <c r="B978" s="11"/>
      <c r="C978" s="11"/>
      <c r="D978" s="11"/>
      <c r="E978" s="11"/>
      <c r="F978" s="11"/>
    </row>
    <row r="979">
      <c r="B979" s="11"/>
      <c r="C979" s="11"/>
      <c r="D979" s="11"/>
      <c r="E979" s="11"/>
      <c r="F979" s="11"/>
    </row>
    <row r="980">
      <c r="B980" s="11"/>
      <c r="C980" s="11"/>
      <c r="D980" s="11"/>
      <c r="E980" s="11"/>
      <c r="F980" s="11"/>
    </row>
    <row r="981">
      <c r="B981" s="11"/>
      <c r="C981" s="11"/>
      <c r="D981" s="11"/>
      <c r="E981" s="11"/>
      <c r="F981" s="11"/>
    </row>
    <row r="982">
      <c r="B982" s="11"/>
      <c r="C982" s="11"/>
      <c r="D982" s="11"/>
      <c r="E982" s="11"/>
      <c r="F982" s="11"/>
    </row>
    <row r="983">
      <c r="B983" s="11"/>
      <c r="C983" s="11"/>
      <c r="D983" s="11"/>
      <c r="E983" s="11"/>
      <c r="F983" s="11"/>
    </row>
    <row r="984">
      <c r="B984" s="11"/>
      <c r="C984" s="11"/>
      <c r="D984" s="11"/>
      <c r="E984" s="11"/>
      <c r="F984" s="11"/>
    </row>
    <row r="985">
      <c r="B985" s="11"/>
      <c r="C985" s="11"/>
      <c r="D985" s="11"/>
      <c r="E985" s="11"/>
      <c r="F985" s="11"/>
    </row>
    <row r="986">
      <c r="B986" s="11"/>
      <c r="C986" s="11"/>
      <c r="D986" s="11"/>
      <c r="E986" s="11"/>
      <c r="F986" s="11"/>
    </row>
    <row r="987">
      <c r="B987" s="11"/>
      <c r="C987" s="11"/>
      <c r="D987" s="11"/>
      <c r="E987" s="11"/>
      <c r="F987" s="11"/>
    </row>
    <row r="988">
      <c r="B988" s="11"/>
      <c r="C988" s="11"/>
      <c r="D988" s="11"/>
      <c r="E988" s="11"/>
      <c r="F988" s="11"/>
    </row>
    <row r="989">
      <c r="B989" s="11"/>
      <c r="C989" s="11"/>
      <c r="D989" s="11"/>
      <c r="E989" s="11"/>
      <c r="F989" s="11"/>
    </row>
    <row r="990">
      <c r="B990" s="11"/>
      <c r="C990" s="11"/>
      <c r="D990" s="11"/>
      <c r="E990" s="11"/>
      <c r="F990" s="11"/>
    </row>
    <row r="991">
      <c r="B991" s="11"/>
      <c r="C991" s="11"/>
      <c r="D991" s="11"/>
      <c r="E991" s="11"/>
      <c r="F991" s="11"/>
    </row>
    <row r="992">
      <c r="B992" s="11"/>
      <c r="C992" s="11"/>
      <c r="D992" s="11"/>
      <c r="E992" s="11"/>
      <c r="F992" s="11"/>
    </row>
    <row r="993">
      <c r="B993" s="11"/>
      <c r="C993" s="11"/>
      <c r="D993" s="11"/>
      <c r="E993" s="11"/>
      <c r="F993" s="11"/>
    </row>
    <row r="994">
      <c r="B994" s="11"/>
      <c r="C994" s="11"/>
      <c r="D994" s="11"/>
      <c r="E994" s="11"/>
      <c r="F994" s="11"/>
    </row>
    <row r="995">
      <c r="B995" s="11"/>
      <c r="C995" s="11"/>
      <c r="D995" s="11"/>
      <c r="E995" s="11"/>
      <c r="F995" s="11"/>
    </row>
    <row r="996">
      <c r="B996" s="11"/>
      <c r="C996" s="11"/>
      <c r="D996" s="11"/>
      <c r="E996" s="11"/>
      <c r="F996" s="11"/>
    </row>
    <row r="997">
      <c r="B997" s="11"/>
      <c r="C997" s="11"/>
      <c r="D997" s="11"/>
      <c r="E997" s="11"/>
      <c r="F997" s="11"/>
    </row>
    <row r="998">
      <c r="B998" s="11"/>
      <c r="C998" s="11"/>
      <c r="D998" s="11"/>
      <c r="E998" s="11"/>
      <c r="F998" s="11"/>
    </row>
    <row r="999">
      <c r="B999" s="11"/>
      <c r="C999" s="11"/>
      <c r="D999" s="11"/>
      <c r="E999" s="11"/>
      <c r="F999" s="11"/>
    </row>
    <row r="1000">
      <c r="B1000" s="11"/>
      <c r="C1000" s="11"/>
      <c r="D1000" s="11"/>
      <c r="E1000" s="11"/>
      <c r="F1000" s="11"/>
    </row>
  </sheetData>
  <conditionalFormatting sqref="B37:F44">
    <cfRule type="cellIs" dxfId="1" priority="1" operator="greaterThan">
      <formula>"85%"</formula>
    </cfRule>
  </conditionalFormatting>
  <conditionalFormatting sqref="B32:F32">
    <cfRule type="colorScale" priority="2">
      <colorScale>
        <cfvo type="formula" val="72%"/>
        <cfvo type="max"/>
        <color rgb="FFFFFFFF"/>
        <color rgb="FF57BB8A"/>
      </colorScale>
    </cfRule>
  </conditionalFormatting>
  <conditionalFormatting sqref="B2:D31 E2:F34">
    <cfRule type="cellIs" dxfId="0" priority="3" operator="greaterThan">
      <formula>"95%"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25"/>
    <col customWidth="1" min="2" max="4" width="19.75"/>
    <col customWidth="1" min="5" max="6" width="14.0"/>
  </cols>
  <sheetData>
    <row r="1">
      <c r="A1" s="1" t="s">
        <v>0</v>
      </c>
      <c r="B1" s="2" t="s">
        <v>2</v>
      </c>
      <c r="C1" s="2" t="s">
        <v>4</v>
      </c>
      <c r="D1" s="2" t="s">
        <v>7</v>
      </c>
      <c r="E1" s="3" t="s">
        <v>8</v>
      </c>
      <c r="F1" s="6"/>
    </row>
    <row r="2">
      <c r="A2" s="5" t="s">
        <v>23</v>
      </c>
      <c r="B2" s="7">
        <v>0.857421875</v>
      </c>
      <c r="C2" s="7">
        <v>0.85205078125</v>
      </c>
      <c r="D2" s="7">
        <v>0.8447265625</v>
      </c>
      <c r="E2" s="11">
        <f t="shared" ref="E2:E5" si="1">average(B2:D2)</f>
        <v>0.8513997396</v>
      </c>
      <c r="F2" s="11">
        <f t="shared" ref="F2:F6" si="2">STDEV(B2:D2)</f>
        <v>0.006372647119</v>
      </c>
    </row>
    <row r="3">
      <c r="A3" s="5" t="s">
        <v>34</v>
      </c>
      <c r="B3" s="7">
        <v>0.60009765625</v>
      </c>
      <c r="C3" s="7">
        <v>0.5810546875</v>
      </c>
      <c r="D3" s="7">
        <v>0.92041015625</v>
      </c>
      <c r="E3" s="11">
        <f t="shared" si="1"/>
        <v>0.7005208333</v>
      </c>
      <c r="F3" s="11">
        <f t="shared" si="2"/>
        <v>0.1906676281</v>
      </c>
    </row>
    <row r="4">
      <c r="A4" s="5" t="s">
        <v>38</v>
      </c>
      <c r="B4" s="7">
        <v>0.94287109375</v>
      </c>
      <c r="C4" s="7">
        <v>0.95654296875</v>
      </c>
      <c r="D4" s="7">
        <v>0.970703125</v>
      </c>
      <c r="E4" s="11">
        <f t="shared" si="1"/>
        <v>0.9567057292</v>
      </c>
      <c r="F4" s="11">
        <f t="shared" si="2"/>
        <v>0.01391672947</v>
      </c>
    </row>
    <row r="5">
      <c r="A5" s="5" t="s">
        <v>42</v>
      </c>
      <c r="B5" s="7">
        <v>0.90966796875</v>
      </c>
      <c r="C5" s="7">
        <v>0.9326171875</v>
      </c>
      <c r="D5" s="7">
        <v>0.89306640625</v>
      </c>
      <c r="E5" s="11">
        <f t="shared" si="1"/>
        <v>0.9117838542</v>
      </c>
      <c r="F5" s="11">
        <f t="shared" si="2"/>
        <v>0.01986010581</v>
      </c>
    </row>
    <row r="6">
      <c r="A6" s="12" t="s">
        <v>45</v>
      </c>
      <c r="B6" s="11">
        <f t="shared" ref="B6:E6" si="3">AVERAGE(B2:B5)</f>
        <v>0.8275146484</v>
      </c>
      <c r="C6" s="11">
        <f t="shared" si="3"/>
        <v>0.8305664063</v>
      </c>
      <c r="D6" s="11">
        <f t="shared" si="3"/>
        <v>0.9072265625</v>
      </c>
      <c r="E6" s="11">
        <f t="shared" si="3"/>
        <v>0.8551025391</v>
      </c>
      <c r="F6" s="11">
        <f t="shared" si="2"/>
        <v>0.0451665105</v>
      </c>
    </row>
    <row r="7">
      <c r="A7" s="13"/>
      <c r="B7" s="14"/>
      <c r="C7" s="14"/>
      <c r="D7" s="14"/>
      <c r="F7" s="11"/>
    </row>
    <row r="8">
      <c r="B8" s="11"/>
      <c r="C8" s="11"/>
      <c r="D8" s="11"/>
      <c r="F8" s="11"/>
    </row>
    <row r="9">
      <c r="B9" s="11"/>
      <c r="C9" s="11"/>
      <c r="D9" s="11"/>
      <c r="F9" s="11"/>
    </row>
    <row r="10">
      <c r="B10" s="11"/>
      <c r="C10" s="11"/>
      <c r="D10" s="11"/>
      <c r="F10" s="11"/>
    </row>
    <row r="11">
      <c r="B11" s="11"/>
      <c r="C11" s="11"/>
      <c r="D11" s="11"/>
      <c r="F11" s="11"/>
    </row>
    <row r="12">
      <c r="B12" s="11"/>
      <c r="C12" s="11"/>
      <c r="D12" s="11"/>
      <c r="F12" s="11"/>
    </row>
    <row r="13">
      <c r="B13" s="11"/>
      <c r="C13" s="11"/>
      <c r="D13" s="11"/>
      <c r="F13" s="11"/>
    </row>
    <row r="14">
      <c r="B14" s="11"/>
      <c r="C14" s="11"/>
      <c r="D14" s="11"/>
      <c r="F14" s="11"/>
    </row>
    <row r="15">
      <c r="B15" s="11"/>
      <c r="C15" s="11"/>
      <c r="D15" s="11"/>
      <c r="F15" s="11"/>
    </row>
    <row r="16">
      <c r="B16" s="11"/>
      <c r="C16" s="11"/>
      <c r="D16" s="11"/>
      <c r="F16" s="11"/>
    </row>
    <row r="17">
      <c r="B17" s="11"/>
      <c r="C17" s="11"/>
      <c r="D17" s="11"/>
      <c r="F17" s="11"/>
    </row>
    <row r="18">
      <c r="B18" s="11"/>
      <c r="C18" s="11"/>
      <c r="D18" s="11"/>
      <c r="F18" s="11"/>
    </row>
    <row r="19">
      <c r="B19" s="11"/>
      <c r="C19" s="11"/>
      <c r="D19" s="11"/>
      <c r="F19" s="11"/>
    </row>
    <row r="20">
      <c r="B20" s="11"/>
      <c r="C20" s="11"/>
      <c r="D20" s="11"/>
      <c r="F20" s="11"/>
    </row>
    <row r="21">
      <c r="B21" s="11"/>
      <c r="C21" s="11"/>
      <c r="D21" s="11"/>
      <c r="F21" s="11"/>
    </row>
    <row r="22">
      <c r="B22" s="11"/>
      <c r="C22" s="11"/>
      <c r="D22" s="11"/>
      <c r="F22" s="11"/>
    </row>
    <row r="23">
      <c r="B23" s="11"/>
      <c r="C23" s="11"/>
      <c r="D23" s="11"/>
      <c r="F23" s="11"/>
    </row>
    <row r="24">
      <c r="B24" s="11"/>
      <c r="C24" s="11"/>
      <c r="D24" s="11"/>
      <c r="F24" s="11"/>
    </row>
    <row r="25">
      <c r="B25" s="11"/>
      <c r="C25" s="11"/>
      <c r="D25" s="11"/>
      <c r="F25" s="11"/>
    </row>
    <row r="26">
      <c r="B26" s="11"/>
      <c r="C26" s="11"/>
      <c r="D26" s="11"/>
      <c r="F26" s="11"/>
    </row>
    <row r="27">
      <c r="B27" s="11"/>
      <c r="C27" s="11"/>
      <c r="D27" s="11"/>
      <c r="F27" s="11"/>
    </row>
    <row r="28">
      <c r="B28" s="11"/>
      <c r="C28" s="11"/>
      <c r="D28" s="11"/>
      <c r="F28" s="11"/>
    </row>
    <row r="29">
      <c r="B29" s="11"/>
      <c r="C29" s="11"/>
      <c r="D29" s="11"/>
      <c r="F29" s="11"/>
    </row>
    <row r="30">
      <c r="B30" s="11"/>
      <c r="C30" s="11"/>
      <c r="D30" s="11"/>
      <c r="F30" s="11"/>
    </row>
    <row r="31">
      <c r="B31" s="11"/>
      <c r="C31" s="11"/>
      <c r="D31" s="11"/>
      <c r="F31" s="11"/>
    </row>
    <row r="32">
      <c r="B32" s="11"/>
      <c r="C32" s="11"/>
      <c r="D32" s="11"/>
      <c r="F32" s="11"/>
    </row>
    <row r="33">
      <c r="B33" s="11"/>
      <c r="C33" s="11"/>
      <c r="D33" s="11"/>
      <c r="F33" s="11"/>
    </row>
    <row r="34">
      <c r="B34" s="11"/>
      <c r="C34" s="11"/>
      <c r="D34" s="11"/>
      <c r="F34" s="11"/>
    </row>
    <row r="35">
      <c r="B35" s="11"/>
      <c r="C35" s="11"/>
      <c r="D35" s="11"/>
      <c r="F35" s="11"/>
    </row>
    <row r="36">
      <c r="B36" s="11"/>
      <c r="C36" s="11"/>
      <c r="D36" s="11"/>
      <c r="F36" s="11"/>
    </row>
    <row r="37">
      <c r="B37" s="11"/>
      <c r="C37" s="11"/>
      <c r="D37" s="11"/>
      <c r="F37" s="11"/>
    </row>
    <row r="38">
      <c r="B38" s="11"/>
      <c r="C38" s="11"/>
      <c r="D38" s="11"/>
      <c r="F38" s="11"/>
    </row>
    <row r="39">
      <c r="B39" s="11"/>
      <c r="C39" s="11"/>
      <c r="D39" s="11"/>
      <c r="F39" s="11"/>
    </row>
    <row r="40">
      <c r="B40" s="11"/>
      <c r="C40" s="11"/>
      <c r="D40" s="11"/>
      <c r="F40" s="11"/>
    </row>
    <row r="41">
      <c r="B41" s="11"/>
      <c r="C41" s="11"/>
      <c r="D41" s="11"/>
      <c r="F41" s="11"/>
    </row>
    <row r="42">
      <c r="B42" s="11"/>
      <c r="C42" s="11"/>
      <c r="D42" s="11"/>
      <c r="F42" s="11"/>
    </row>
    <row r="43">
      <c r="B43" s="11"/>
      <c r="C43" s="11"/>
      <c r="D43" s="11"/>
      <c r="F43" s="11"/>
    </row>
    <row r="44">
      <c r="B44" s="11"/>
      <c r="C44" s="11"/>
      <c r="D44" s="11"/>
      <c r="F44" s="11"/>
    </row>
    <row r="45">
      <c r="B45" s="11"/>
      <c r="C45" s="11"/>
      <c r="D45" s="11"/>
      <c r="F45" s="11"/>
    </row>
    <row r="46">
      <c r="B46" s="11"/>
      <c r="C46" s="11"/>
      <c r="D46" s="11"/>
      <c r="F46" s="11"/>
    </row>
    <row r="47">
      <c r="B47" s="11"/>
      <c r="C47" s="11"/>
      <c r="D47" s="11"/>
      <c r="F47" s="11"/>
    </row>
    <row r="48">
      <c r="B48" s="11"/>
      <c r="C48" s="11"/>
      <c r="D48" s="11"/>
      <c r="F48" s="11"/>
    </row>
    <row r="49">
      <c r="B49" s="11"/>
      <c r="C49" s="11"/>
      <c r="D49" s="11"/>
      <c r="F49" s="11"/>
    </row>
    <row r="50">
      <c r="B50" s="11"/>
      <c r="C50" s="11"/>
      <c r="D50" s="11"/>
      <c r="F50" s="11"/>
    </row>
    <row r="51">
      <c r="B51" s="11"/>
      <c r="C51" s="11"/>
      <c r="D51" s="11"/>
      <c r="F51" s="11"/>
    </row>
    <row r="52">
      <c r="B52" s="11"/>
      <c r="C52" s="11"/>
      <c r="D52" s="11"/>
      <c r="F52" s="11"/>
    </row>
    <row r="53">
      <c r="B53" s="11"/>
      <c r="C53" s="11"/>
      <c r="D53" s="11"/>
      <c r="F53" s="11"/>
    </row>
    <row r="54">
      <c r="B54" s="11"/>
      <c r="C54" s="11"/>
      <c r="D54" s="11"/>
      <c r="F54" s="11"/>
    </row>
    <row r="55">
      <c r="B55" s="11"/>
      <c r="C55" s="11"/>
      <c r="D55" s="11"/>
      <c r="F55" s="11"/>
    </row>
    <row r="56">
      <c r="B56" s="11"/>
      <c r="C56" s="11"/>
      <c r="D56" s="11"/>
      <c r="F56" s="11"/>
    </row>
    <row r="57">
      <c r="B57" s="11"/>
      <c r="C57" s="11"/>
      <c r="D57" s="11"/>
      <c r="F57" s="11"/>
    </row>
    <row r="58">
      <c r="B58" s="11"/>
      <c r="C58" s="11"/>
      <c r="D58" s="11"/>
      <c r="F58" s="11"/>
    </row>
    <row r="59">
      <c r="B59" s="11"/>
      <c r="C59" s="11"/>
      <c r="D59" s="11"/>
      <c r="F59" s="11"/>
    </row>
    <row r="60">
      <c r="B60" s="11"/>
      <c r="C60" s="11"/>
      <c r="D60" s="11"/>
      <c r="F60" s="11"/>
    </row>
    <row r="61">
      <c r="B61" s="11"/>
      <c r="C61" s="11"/>
      <c r="D61" s="11"/>
      <c r="F61" s="11"/>
    </row>
    <row r="62">
      <c r="B62" s="11"/>
      <c r="C62" s="11"/>
      <c r="D62" s="11"/>
      <c r="F62" s="11"/>
    </row>
    <row r="63">
      <c r="B63" s="11"/>
      <c r="C63" s="11"/>
      <c r="D63" s="11"/>
      <c r="F63" s="11"/>
    </row>
    <row r="64">
      <c r="B64" s="11"/>
      <c r="C64" s="11"/>
      <c r="D64" s="11"/>
      <c r="F64" s="11"/>
    </row>
    <row r="65">
      <c r="B65" s="11"/>
      <c r="C65" s="11"/>
      <c r="D65" s="11"/>
      <c r="F65" s="11"/>
    </row>
    <row r="66">
      <c r="B66" s="11"/>
      <c r="C66" s="11"/>
      <c r="D66" s="11"/>
      <c r="F66" s="11"/>
    </row>
    <row r="67">
      <c r="B67" s="11"/>
      <c r="C67" s="11"/>
      <c r="D67" s="11"/>
      <c r="F67" s="11"/>
    </row>
    <row r="68">
      <c r="B68" s="11"/>
      <c r="C68" s="11"/>
      <c r="D68" s="11"/>
      <c r="F68" s="11"/>
    </row>
    <row r="69">
      <c r="B69" s="11"/>
      <c r="C69" s="11"/>
      <c r="D69" s="11"/>
      <c r="F69" s="11"/>
    </row>
    <row r="70">
      <c r="B70" s="11"/>
      <c r="C70" s="11"/>
      <c r="D70" s="11"/>
      <c r="F70" s="11"/>
    </row>
    <row r="71">
      <c r="B71" s="11"/>
      <c r="C71" s="11"/>
      <c r="D71" s="11"/>
      <c r="F71" s="11"/>
    </row>
    <row r="72">
      <c r="B72" s="11"/>
      <c r="C72" s="11"/>
      <c r="D72" s="11"/>
      <c r="F72" s="11"/>
    </row>
    <row r="73">
      <c r="B73" s="11"/>
      <c r="C73" s="11"/>
      <c r="D73" s="11"/>
      <c r="F73" s="11"/>
    </row>
    <row r="74">
      <c r="B74" s="11"/>
      <c r="C74" s="11"/>
      <c r="D74" s="11"/>
      <c r="F74" s="11"/>
    </row>
    <row r="75">
      <c r="B75" s="11"/>
      <c r="C75" s="11"/>
      <c r="D75" s="11"/>
      <c r="F75" s="11"/>
    </row>
    <row r="76">
      <c r="B76" s="11"/>
      <c r="C76" s="11"/>
      <c r="D76" s="11"/>
      <c r="F76" s="11"/>
    </row>
    <row r="77">
      <c r="B77" s="11"/>
      <c r="C77" s="11"/>
      <c r="D77" s="11"/>
      <c r="F77" s="11"/>
    </row>
    <row r="78">
      <c r="B78" s="11"/>
      <c r="C78" s="11"/>
      <c r="D78" s="11"/>
      <c r="F78" s="11"/>
    </row>
    <row r="79">
      <c r="B79" s="11"/>
      <c r="C79" s="11"/>
      <c r="D79" s="11"/>
      <c r="F79" s="11"/>
    </row>
    <row r="80">
      <c r="B80" s="11"/>
      <c r="C80" s="11"/>
      <c r="D80" s="11"/>
      <c r="F80" s="11"/>
    </row>
    <row r="81">
      <c r="B81" s="11"/>
      <c r="C81" s="11"/>
      <c r="D81" s="11"/>
      <c r="F81" s="11"/>
    </row>
    <row r="82">
      <c r="B82" s="11"/>
      <c r="C82" s="11"/>
      <c r="D82" s="11"/>
      <c r="F82" s="11"/>
    </row>
    <row r="83">
      <c r="B83" s="11"/>
      <c r="C83" s="11"/>
      <c r="D83" s="11"/>
      <c r="F83" s="11"/>
    </row>
    <row r="84">
      <c r="B84" s="11"/>
      <c r="C84" s="11"/>
      <c r="D84" s="11"/>
      <c r="F84" s="11"/>
    </row>
    <row r="85">
      <c r="B85" s="11"/>
      <c r="C85" s="11"/>
      <c r="D85" s="11"/>
      <c r="F85" s="11"/>
    </row>
    <row r="86">
      <c r="B86" s="11"/>
      <c r="C86" s="11"/>
      <c r="D86" s="11"/>
      <c r="F86" s="11"/>
    </row>
    <row r="87">
      <c r="B87" s="11"/>
      <c r="C87" s="11"/>
      <c r="D87" s="11"/>
      <c r="F87" s="11"/>
    </row>
    <row r="88">
      <c r="B88" s="11"/>
      <c r="C88" s="11"/>
      <c r="D88" s="11"/>
      <c r="F88" s="11"/>
    </row>
    <row r="89">
      <c r="B89" s="11"/>
      <c r="C89" s="11"/>
      <c r="D89" s="11"/>
      <c r="F89" s="11"/>
    </row>
    <row r="90">
      <c r="B90" s="11"/>
      <c r="C90" s="11"/>
      <c r="D90" s="11"/>
      <c r="F90" s="11"/>
    </row>
    <row r="91">
      <c r="B91" s="11"/>
      <c r="C91" s="11"/>
      <c r="D91" s="11"/>
      <c r="F91" s="11"/>
    </row>
    <row r="92">
      <c r="B92" s="11"/>
      <c r="C92" s="11"/>
      <c r="D92" s="11"/>
      <c r="F92" s="11"/>
    </row>
    <row r="93">
      <c r="B93" s="11"/>
      <c r="C93" s="11"/>
      <c r="D93" s="11"/>
      <c r="F93" s="11"/>
    </row>
    <row r="94">
      <c r="B94" s="11"/>
      <c r="C94" s="11"/>
      <c r="D94" s="11"/>
      <c r="F94" s="11"/>
    </row>
    <row r="95">
      <c r="B95" s="11"/>
      <c r="C95" s="11"/>
      <c r="D95" s="11"/>
      <c r="F95" s="11"/>
    </row>
    <row r="96">
      <c r="B96" s="11"/>
      <c r="C96" s="11"/>
      <c r="D96" s="11"/>
      <c r="F96" s="11"/>
    </row>
    <row r="97">
      <c r="B97" s="11"/>
      <c r="C97" s="11"/>
      <c r="D97" s="11"/>
      <c r="F97" s="11"/>
    </row>
    <row r="98">
      <c r="B98" s="11"/>
      <c r="C98" s="11"/>
      <c r="D98" s="11"/>
      <c r="F98" s="11"/>
    </row>
    <row r="99">
      <c r="B99" s="11"/>
      <c r="C99" s="11"/>
      <c r="D99" s="11"/>
      <c r="F99" s="11"/>
    </row>
    <row r="100">
      <c r="B100" s="11"/>
      <c r="C100" s="11"/>
      <c r="D100" s="11"/>
      <c r="F100" s="11"/>
    </row>
    <row r="101">
      <c r="B101" s="11"/>
      <c r="C101" s="11"/>
      <c r="D101" s="11"/>
      <c r="F101" s="11"/>
    </row>
    <row r="102">
      <c r="B102" s="11"/>
      <c r="C102" s="11"/>
      <c r="D102" s="11"/>
      <c r="F102" s="11"/>
    </row>
    <row r="103">
      <c r="B103" s="11"/>
      <c r="C103" s="11"/>
      <c r="D103" s="11"/>
      <c r="F103" s="11"/>
    </row>
    <row r="104">
      <c r="B104" s="11"/>
      <c r="C104" s="11"/>
      <c r="D104" s="11"/>
      <c r="F104" s="11"/>
    </row>
    <row r="105">
      <c r="B105" s="11"/>
      <c r="C105" s="11"/>
      <c r="D105" s="11"/>
      <c r="F105" s="11"/>
    </row>
    <row r="106">
      <c r="B106" s="11"/>
      <c r="C106" s="11"/>
      <c r="D106" s="11"/>
      <c r="F106" s="11"/>
    </row>
    <row r="107">
      <c r="B107" s="11"/>
      <c r="C107" s="11"/>
      <c r="D107" s="11"/>
      <c r="F107" s="11"/>
    </row>
    <row r="108">
      <c r="B108" s="11"/>
      <c r="C108" s="11"/>
      <c r="D108" s="11"/>
      <c r="F108" s="11"/>
    </row>
    <row r="109">
      <c r="B109" s="11"/>
      <c r="C109" s="11"/>
      <c r="D109" s="11"/>
      <c r="F109" s="11"/>
    </row>
    <row r="110">
      <c r="B110" s="11"/>
      <c r="C110" s="11"/>
      <c r="D110" s="11"/>
      <c r="F110" s="11"/>
    </row>
    <row r="111">
      <c r="B111" s="11"/>
      <c r="C111" s="11"/>
      <c r="D111" s="11"/>
      <c r="F111" s="11"/>
    </row>
    <row r="112">
      <c r="B112" s="11"/>
      <c r="C112" s="11"/>
      <c r="D112" s="11"/>
      <c r="F112" s="11"/>
    </row>
    <row r="113">
      <c r="B113" s="11"/>
      <c r="C113" s="11"/>
      <c r="D113" s="11"/>
      <c r="F113" s="11"/>
    </row>
    <row r="114">
      <c r="B114" s="11"/>
      <c r="C114" s="11"/>
      <c r="D114" s="11"/>
      <c r="F114" s="11"/>
    </row>
    <row r="115">
      <c r="B115" s="11"/>
      <c r="C115" s="11"/>
      <c r="D115" s="11"/>
      <c r="F115" s="11"/>
    </row>
    <row r="116">
      <c r="B116" s="11"/>
      <c r="C116" s="11"/>
      <c r="D116" s="11"/>
      <c r="F116" s="11"/>
    </row>
    <row r="117">
      <c r="B117" s="11"/>
      <c r="C117" s="11"/>
      <c r="D117" s="11"/>
      <c r="F117" s="11"/>
    </row>
    <row r="118">
      <c r="B118" s="11"/>
      <c r="C118" s="11"/>
      <c r="D118" s="11"/>
      <c r="F118" s="11"/>
    </row>
    <row r="119">
      <c r="B119" s="11"/>
      <c r="C119" s="11"/>
      <c r="D119" s="11"/>
      <c r="F119" s="11"/>
    </row>
    <row r="120">
      <c r="B120" s="11"/>
      <c r="C120" s="11"/>
      <c r="D120" s="11"/>
      <c r="F120" s="11"/>
    </row>
    <row r="121">
      <c r="B121" s="11"/>
      <c r="C121" s="11"/>
      <c r="D121" s="11"/>
      <c r="F121" s="11"/>
    </row>
    <row r="122">
      <c r="B122" s="11"/>
      <c r="C122" s="11"/>
      <c r="D122" s="11"/>
      <c r="F122" s="11"/>
    </row>
    <row r="123">
      <c r="B123" s="11"/>
      <c r="C123" s="11"/>
      <c r="D123" s="11"/>
      <c r="F123" s="11"/>
    </row>
    <row r="124">
      <c r="B124" s="11"/>
      <c r="C124" s="11"/>
      <c r="D124" s="11"/>
      <c r="F124" s="11"/>
    </row>
    <row r="125">
      <c r="B125" s="11"/>
      <c r="C125" s="11"/>
      <c r="D125" s="11"/>
      <c r="F125" s="11"/>
    </row>
    <row r="126">
      <c r="B126" s="11"/>
      <c r="C126" s="11"/>
      <c r="D126" s="11"/>
      <c r="F126" s="11"/>
    </row>
    <row r="127">
      <c r="B127" s="11"/>
      <c r="C127" s="11"/>
      <c r="D127" s="11"/>
      <c r="F127" s="11"/>
    </row>
    <row r="128">
      <c r="B128" s="11"/>
      <c r="C128" s="11"/>
      <c r="D128" s="11"/>
      <c r="F128" s="11"/>
    </row>
    <row r="129">
      <c r="B129" s="11"/>
      <c r="C129" s="11"/>
      <c r="D129" s="11"/>
      <c r="F129" s="11"/>
    </row>
    <row r="130">
      <c r="B130" s="11"/>
      <c r="C130" s="11"/>
      <c r="D130" s="11"/>
      <c r="F130" s="11"/>
    </row>
    <row r="131">
      <c r="B131" s="11"/>
      <c r="C131" s="11"/>
      <c r="D131" s="11"/>
      <c r="F131" s="11"/>
    </row>
    <row r="132">
      <c r="B132" s="11"/>
      <c r="C132" s="11"/>
      <c r="D132" s="11"/>
      <c r="F132" s="11"/>
    </row>
    <row r="133">
      <c r="B133" s="11"/>
      <c r="C133" s="11"/>
      <c r="D133" s="11"/>
      <c r="F133" s="11"/>
    </row>
    <row r="134">
      <c r="B134" s="11"/>
      <c r="C134" s="11"/>
      <c r="D134" s="11"/>
      <c r="F134" s="11"/>
    </row>
    <row r="135">
      <c r="B135" s="11"/>
      <c r="C135" s="11"/>
      <c r="D135" s="11"/>
      <c r="F135" s="11"/>
    </row>
    <row r="136">
      <c r="B136" s="11"/>
      <c r="C136" s="11"/>
      <c r="D136" s="11"/>
      <c r="F136" s="11"/>
    </row>
    <row r="137">
      <c r="B137" s="11"/>
      <c r="C137" s="11"/>
      <c r="D137" s="11"/>
      <c r="F137" s="11"/>
    </row>
    <row r="138">
      <c r="B138" s="11"/>
      <c r="C138" s="11"/>
      <c r="D138" s="11"/>
      <c r="F138" s="11"/>
    </row>
    <row r="139">
      <c r="B139" s="11"/>
      <c r="C139" s="11"/>
      <c r="D139" s="11"/>
      <c r="F139" s="11"/>
    </row>
    <row r="140">
      <c r="B140" s="11"/>
      <c r="C140" s="11"/>
      <c r="D140" s="11"/>
      <c r="F140" s="11"/>
    </row>
    <row r="141">
      <c r="B141" s="11"/>
      <c r="C141" s="11"/>
      <c r="D141" s="11"/>
      <c r="F141" s="11"/>
    </row>
    <row r="142">
      <c r="B142" s="11"/>
      <c r="C142" s="11"/>
      <c r="D142" s="11"/>
      <c r="F142" s="11"/>
    </row>
    <row r="143">
      <c r="B143" s="11"/>
      <c r="C143" s="11"/>
      <c r="D143" s="11"/>
      <c r="F143" s="11"/>
    </row>
    <row r="144">
      <c r="B144" s="11"/>
      <c r="C144" s="11"/>
      <c r="D144" s="11"/>
      <c r="F144" s="11"/>
    </row>
    <row r="145">
      <c r="B145" s="11"/>
      <c r="C145" s="11"/>
      <c r="D145" s="11"/>
      <c r="F145" s="11"/>
    </row>
    <row r="146">
      <c r="B146" s="11"/>
      <c r="C146" s="11"/>
      <c r="D146" s="11"/>
      <c r="F146" s="11"/>
    </row>
    <row r="147">
      <c r="B147" s="11"/>
      <c r="C147" s="11"/>
      <c r="D147" s="11"/>
      <c r="F147" s="11"/>
    </row>
    <row r="148">
      <c r="B148" s="11"/>
      <c r="C148" s="11"/>
      <c r="D148" s="11"/>
      <c r="F148" s="11"/>
    </row>
    <row r="149">
      <c r="B149" s="11"/>
      <c r="C149" s="11"/>
      <c r="D149" s="11"/>
      <c r="F149" s="11"/>
    </row>
    <row r="150">
      <c r="B150" s="11"/>
      <c r="C150" s="11"/>
      <c r="D150" s="11"/>
      <c r="F150" s="11"/>
    </row>
    <row r="151">
      <c r="B151" s="11"/>
      <c r="C151" s="11"/>
      <c r="D151" s="11"/>
      <c r="F151" s="11"/>
    </row>
    <row r="152">
      <c r="B152" s="11"/>
      <c r="C152" s="11"/>
      <c r="D152" s="11"/>
      <c r="F152" s="11"/>
    </row>
    <row r="153">
      <c r="B153" s="11"/>
      <c r="C153" s="11"/>
      <c r="D153" s="11"/>
      <c r="F153" s="11"/>
    </row>
    <row r="154">
      <c r="B154" s="11"/>
      <c r="C154" s="11"/>
      <c r="D154" s="11"/>
      <c r="F154" s="11"/>
    </row>
    <row r="155">
      <c r="B155" s="11"/>
      <c r="C155" s="11"/>
      <c r="D155" s="11"/>
      <c r="F155" s="11"/>
    </row>
    <row r="156">
      <c r="B156" s="11"/>
      <c r="C156" s="11"/>
      <c r="D156" s="11"/>
      <c r="F156" s="11"/>
    </row>
    <row r="157">
      <c r="B157" s="11"/>
      <c r="C157" s="11"/>
      <c r="D157" s="11"/>
      <c r="F157" s="11"/>
    </row>
    <row r="158">
      <c r="B158" s="11"/>
      <c r="C158" s="11"/>
      <c r="D158" s="11"/>
      <c r="F158" s="11"/>
    </row>
    <row r="159">
      <c r="B159" s="11"/>
      <c r="C159" s="11"/>
      <c r="D159" s="11"/>
      <c r="F159" s="11"/>
    </row>
    <row r="160">
      <c r="B160" s="11"/>
      <c r="C160" s="11"/>
      <c r="D160" s="11"/>
      <c r="F160" s="11"/>
    </row>
    <row r="161">
      <c r="B161" s="11"/>
      <c r="C161" s="11"/>
      <c r="D161" s="11"/>
      <c r="F161" s="11"/>
    </row>
    <row r="162">
      <c r="B162" s="11"/>
      <c r="C162" s="11"/>
      <c r="D162" s="11"/>
      <c r="F162" s="11"/>
    </row>
    <row r="163">
      <c r="B163" s="11"/>
      <c r="C163" s="11"/>
      <c r="D163" s="11"/>
      <c r="F163" s="11"/>
    </row>
    <row r="164">
      <c r="B164" s="11"/>
      <c r="C164" s="11"/>
      <c r="D164" s="11"/>
      <c r="F164" s="11"/>
    </row>
    <row r="165">
      <c r="B165" s="11"/>
      <c r="C165" s="11"/>
      <c r="D165" s="11"/>
      <c r="F165" s="11"/>
    </row>
    <row r="166">
      <c r="B166" s="11"/>
      <c r="C166" s="11"/>
      <c r="D166" s="11"/>
      <c r="F166" s="11"/>
    </row>
    <row r="167">
      <c r="B167" s="11"/>
      <c r="C167" s="11"/>
      <c r="D167" s="11"/>
      <c r="F167" s="11"/>
    </row>
    <row r="168">
      <c r="B168" s="11"/>
      <c r="C168" s="11"/>
      <c r="D168" s="11"/>
      <c r="F168" s="11"/>
    </row>
    <row r="169">
      <c r="B169" s="11"/>
      <c r="C169" s="11"/>
      <c r="D169" s="11"/>
      <c r="F169" s="11"/>
    </row>
    <row r="170">
      <c r="B170" s="11"/>
      <c r="C170" s="11"/>
      <c r="D170" s="11"/>
      <c r="F170" s="11"/>
    </row>
    <row r="171">
      <c r="B171" s="11"/>
      <c r="C171" s="11"/>
      <c r="D171" s="11"/>
      <c r="F171" s="11"/>
    </row>
    <row r="172">
      <c r="B172" s="11"/>
      <c r="C172" s="11"/>
      <c r="D172" s="11"/>
      <c r="F172" s="11"/>
    </row>
    <row r="173">
      <c r="B173" s="11"/>
      <c r="C173" s="11"/>
      <c r="D173" s="11"/>
      <c r="F173" s="11"/>
    </row>
    <row r="174">
      <c r="B174" s="11"/>
      <c r="C174" s="11"/>
      <c r="D174" s="11"/>
      <c r="F174" s="11"/>
    </row>
    <row r="175">
      <c r="B175" s="11"/>
      <c r="C175" s="11"/>
      <c r="D175" s="11"/>
      <c r="F175" s="11"/>
    </row>
    <row r="176">
      <c r="B176" s="11"/>
      <c r="C176" s="11"/>
      <c r="D176" s="11"/>
      <c r="F176" s="11"/>
    </row>
    <row r="177">
      <c r="B177" s="11"/>
      <c r="C177" s="11"/>
      <c r="D177" s="11"/>
      <c r="F177" s="11"/>
    </row>
    <row r="178">
      <c r="B178" s="11"/>
      <c r="C178" s="11"/>
      <c r="D178" s="11"/>
      <c r="F178" s="11"/>
    </row>
    <row r="179">
      <c r="B179" s="11"/>
      <c r="C179" s="11"/>
      <c r="D179" s="11"/>
      <c r="F179" s="11"/>
    </row>
    <row r="180">
      <c r="B180" s="11"/>
      <c r="C180" s="11"/>
      <c r="D180" s="11"/>
      <c r="F180" s="11"/>
    </row>
    <row r="181">
      <c r="B181" s="11"/>
      <c r="C181" s="11"/>
      <c r="D181" s="11"/>
      <c r="F181" s="11"/>
    </row>
    <row r="182">
      <c r="B182" s="11"/>
      <c r="C182" s="11"/>
      <c r="D182" s="11"/>
      <c r="F182" s="11"/>
    </row>
    <row r="183">
      <c r="B183" s="11"/>
      <c r="C183" s="11"/>
      <c r="D183" s="11"/>
      <c r="F183" s="11"/>
    </row>
    <row r="184">
      <c r="B184" s="11"/>
      <c r="C184" s="11"/>
      <c r="D184" s="11"/>
      <c r="F184" s="11"/>
    </row>
    <row r="185">
      <c r="B185" s="11"/>
      <c r="C185" s="11"/>
      <c r="D185" s="11"/>
      <c r="F185" s="11"/>
    </row>
    <row r="186">
      <c r="B186" s="11"/>
      <c r="C186" s="11"/>
      <c r="D186" s="11"/>
      <c r="F186" s="11"/>
    </row>
    <row r="187">
      <c r="B187" s="11"/>
      <c r="C187" s="11"/>
      <c r="D187" s="11"/>
      <c r="F187" s="11"/>
    </row>
    <row r="188">
      <c r="B188" s="11"/>
      <c r="C188" s="11"/>
      <c r="D188" s="11"/>
      <c r="F188" s="11"/>
    </row>
    <row r="189">
      <c r="B189" s="11"/>
      <c r="C189" s="11"/>
      <c r="D189" s="11"/>
      <c r="F189" s="11"/>
    </row>
    <row r="190">
      <c r="B190" s="11"/>
      <c r="C190" s="11"/>
      <c r="D190" s="11"/>
      <c r="F190" s="11"/>
    </row>
    <row r="191">
      <c r="B191" s="11"/>
      <c r="C191" s="11"/>
      <c r="D191" s="11"/>
      <c r="F191" s="11"/>
    </row>
    <row r="192">
      <c r="B192" s="11"/>
      <c r="C192" s="11"/>
      <c r="D192" s="11"/>
      <c r="F192" s="11"/>
    </row>
    <row r="193">
      <c r="B193" s="11"/>
      <c r="C193" s="11"/>
      <c r="D193" s="11"/>
      <c r="F193" s="11"/>
    </row>
    <row r="194">
      <c r="B194" s="11"/>
      <c r="C194" s="11"/>
      <c r="D194" s="11"/>
      <c r="F194" s="11"/>
    </row>
    <row r="195">
      <c r="B195" s="11"/>
      <c r="C195" s="11"/>
      <c r="D195" s="11"/>
      <c r="F195" s="11"/>
    </row>
    <row r="196">
      <c r="B196" s="11"/>
      <c r="C196" s="11"/>
      <c r="D196" s="11"/>
      <c r="F196" s="11"/>
    </row>
    <row r="197">
      <c r="B197" s="11"/>
      <c r="C197" s="11"/>
      <c r="D197" s="11"/>
      <c r="F197" s="11"/>
    </row>
    <row r="198">
      <c r="B198" s="11"/>
      <c r="C198" s="11"/>
      <c r="D198" s="11"/>
      <c r="F198" s="11"/>
    </row>
    <row r="199">
      <c r="B199" s="11"/>
      <c r="C199" s="11"/>
      <c r="D199" s="11"/>
      <c r="F199" s="11"/>
    </row>
    <row r="200">
      <c r="B200" s="11"/>
      <c r="C200" s="11"/>
      <c r="D200" s="11"/>
      <c r="F200" s="11"/>
    </row>
    <row r="201">
      <c r="B201" s="11"/>
      <c r="C201" s="11"/>
      <c r="D201" s="11"/>
      <c r="F201" s="11"/>
    </row>
    <row r="202">
      <c r="B202" s="11"/>
      <c r="C202" s="11"/>
      <c r="D202" s="11"/>
      <c r="F202" s="11"/>
    </row>
    <row r="203">
      <c r="B203" s="11"/>
      <c r="C203" s="11"/>
      <c r="D203" s="11"/>
      <c r="F203" s="11"/>
    </row>
    <row r="204">
      <c r="B204" s="11"/>
      <c r="C204" s="11"/>
      <c r="D204" s="11"/>
      <c r="F204" s="11"/>
    </row>
    <row r="205">
      <c r="B205" s="11"/>
      <c r="C205" s="11"/>
      <c r="D205" s="11"/>
      <c r="F205" s="11"/>
    </row>
    <row r="206">
      <c r="B206" s="11"/>
      <c r="C206" s="11"/>
      <c r="D206" s="11"/>
      <c r="F206" s="11"/>
    </row>
    <row r="207">
      <c r="B207" s="11"/>
      <c r="C207" s="11"/>
      <c r="D207" s="11"/>
      <c r="F207" s="11"/>
    </row>
    <row r="208">
      <c r="B208" s="11"/>
      <c r="C208" s="11"/>
      <c r="D208" s="11"/>
      <c r="F208" s="11"/>
    </row>
    <row r="209">
      <c r="B209" s="11"/>
      <c r="C209" s="11"/>
      <c r="D209" s="11"/>
      <c r="F209" s="11"/>
    </row>
    <row r="210">
      <c r="B210" s="11"/>
      <c r="C210" s="11"/>
      <c r="D210" s="11"/>
      <c r="F210" s="11"/>
    </row>
    <row r="211">
      <c r="B211" s="11"/>
      <c r="C211" s="11"/>
      <c r="D211" s="11"/>
      <c r="F211" s="11"/>
    </row>
    <row r="212">
      <c r="B212" s="11"/>
      <c r="C212" s="11"/>
      <c r="D212" s="11"/>
      <c r="F212" s="11"/>
    </row>
    <row r="213">
      <c r="B213" s="11"/>
      <c r="C213" s="11"/>
      <c r="D213" s="11"/>
      <c r="F213" s="11"/>
    </row>
    <row r="214">
      <c r="B214" s="11"/>
      <c r="C214" s="11"/>
      <c r="D214" s="11"/>
      <c r="F214" s="11"/>
    </row>
    <row r="215">
      <c r="B215" s="11"/>
      <c r="C215" s="11"/>
      <c r="D215" s="11"/>
      <c r="F215" s="11"/>
    </row>
    <row r="216">
      <c r="B216" s="11"/>
      <c r="C216" s="11"/>
      <c r="D216" s="11"/>
      <c r="F216" s="11"/>
    </row>
    <row r="217">
      <c r="B217" s="11"/>
      <c r="C217" s="11"/>
      <c r="D217" s="11"/>
      <c r="F217" s="11"/>
    </row>
    <row r="218">
      <c r="B218" s="11"/>
      <c r="C218" s="11"/>
      <c r="D218" s="11"/>
      <c r="F218" s="11"/>
    </row>
    <row r="219">
      <c r="B219" s="11"/>
      <c r="C219" s="11"/>
      <c r="D219" s="11"/>
      <c r="F219" s="11"/>
    </row>
    <row r="220">
      <c r="B220" s="11"/>
      <c r="C220" s="11"/>
      <c r="D220" s="11"/>
      <c r="F220" s="11"/>
    </row>
    <row r="221">
      <c r="B221" s="11"/>
      <c r="C221" s="11"/>
      <c r="D221" s="11"/>
      <c r="F221" s="11"/>
    </row>
    <row r="222">
      <c r="B222" s="11"/>
      <c r="C222" s="11"/>
      <c r="D222" s="11"/>
      <c r="F222" s="11"/>
    </row>
    <row r="223">
      <c r="B223" s="11"/>
      <c r="C223" s="11"/>
      <c r="D223" s="11"/>
      <c r="F223" s="11"/>
    </row>
    <row r="224">
      <c r="B224" s="11"/>
      <c r="C224" s="11"/>
      <c r="D224" s="11"/>
      <c r="F224" s="11"/>
    </row>
    <row r="225">
      <c r="B225" s="11"/>
      <c r="C225" s="11"/>
      <c r="D225" s="11"/>
      <c r="F225" s="11"/>
    </row>
    <row r="226">
      <c r="B226" s="11"/>
      <c r="C226" s="11"/>
      <c r="D226" s="11"/>
      <c r="F226" s="11"/>
    </row>
    <row r="227">
      <c r="B227" s="11"/>
      <c r="C227" s="11"/>
      <c r="D227" s="11"/>
      <c r="F227" s="11"/>
    </row>
    <row r="228">
      <c r="B228" s="11"/>
      <c r="C228" s="11"/>
      <c r="D228" s="11"/>
      <c r="F228" s="11"/>
    </row>
    <row r="229">
      <c r="B229" s="11"/>
      <c r="C229" s="11"/>
      <c r="D229" s="11"/>
      <c r="F229" s="11"/>
    </row>
    <row r="230">
      <c r="B230" s="11"/>
      <c r="C230" s="11"/>
      <c r="D230" s="11"/>
      <c r="F230" s="11"/>
    </row>
    <row r="231">
      <c r="B231" s="11"/>
      <c r="C231" s="11"/>
      <c r="D231" s="11"/>
      <c r="F231" s="11"/>
    </row>
    <row r="232">
      <c r="B232" s="11"/>
      <c r="C232" s="11"/>
      <c r="D232" s="11"/>
      <c r="F232" s="11"/>
    </row>
    <row r="233">
      <c r="B233" s="11"/>
      <c r="C233" s="11"/>
      <c r="D233" s="11"/>
      <c r="F233" s="11"/>
    </row>
    <row r="234">
      <c r="B234" s="11"/>
      <c r="C234" s="11"/>
      <c r="D234" s="11"/>
      <c r="F234" s="11"/>
    </row>
    <row r="235">
      <c r="B235" s="11"/>
      <c r="C235" s="11"/>
      <c r="D235" s="11"/>
      <c r="F235" s="11"/>
    </row>
    <row r="236">
      <c r="B236" s="11"/>
      <c r="C236" s="11"/>
      <c r="D236" s="11"/>
      <c r="F236" s="11"/>
    </row>
    <row r="237">
      <c r="B237" s="11"/>
      <c r="C237" s="11"/>
      <c r="D237" s="11"/>
      <c r="F237" s="11"/>
    </row>
    <row r="238">
      <c r="B238" s="11"/>
      <c r="C238" s="11"/>
      <c r="D238" s="11"/>
      <c r="F238" s="11"/>
    </row>
    <row r="239">
      <c r="B239" s="11"/>
      <c r="C239" s="11"/>
      <c r="D239" s="11"/>
      <c r="F239" s="11"/>
    </row>
    <row r="240">
      <c r="B240" s="11"/>
      <c r="C240" s="11"/>
      <c r="D240" s="11"/>
      <c r="F240" s="11"/>
    </row>
    <row r="241">
      <c r="B241" s="11"/>
      <c r="C241" s="11"/>
      <c r="D241" s="11"/>
      <c r="F241" s="11"/>
    </row>
    <row r="242">
      <c r="B242" s="11"/>
      <c r="C242" s="11"/>
      <c r="D242" s="11"/>
      <c r="F242" s="11"/>
    </row>
    <row r="243">
      <c r="B243" s="11"/>
      <c r="C243" s="11"/>
      <c r="D243" s="11"/>
      <c r="F243" s="11"/>
    </row>
    <row r="244">
      <c r="B244" s="11"/>
      <c r="C244" s="11"/>
      <c r="D244" s="11"/>
      <c r="F244" s="11"/>
    </row>
    <row r="245">
      <c r="B245" s="11"/>
      <c r="C245" s="11"/>
      <c r="D245" s="11"/>
      <c r="F245" s="11"/>
    </row>
    <row r="246">
      <c r="B246" s="11"/>
      <c r="C246" s="11"/>
      <c r="D246" s="11"/>
      <c r="F246" s="11"/>
    </row>
    <row r="247">
      <c r="B247" s="11"/>
      <c r="C247" s="11"/>
      <c r="D247" s="11"/>
      <c r="F247" s="11"/>
    </row>
    <row r="248">
      <c r="B248" s="11"/>
      <c r="C248" s="11"/>
      <c r="D248" s="11"/>
      <c r="F248" s="11"/>
    </row>
    <row r="249">
      <c r="B249" s="11"/>
      <c r="C249" s="11"/>
      <c r="D249" s="11"/>
      <c r="F249" s="11"/>
    </row>
    <row r="250">
      <c r="B250" s="11"/>
      <c r="C250" s="11"/>
      <c r="D250" s="11"/>
      <c r="F250" s="11"/>
    </row>
    <row r="251">
      <c r="B251" s="11"/>
      <c r="C251" s="11"/>
      <c r="D251" s="11"/>
      <c r="F251" s="11"/>
    </row>
    <row r="252">
      <c r="B252" s="11"/>
      <c r="C252" s="11"/>
      <c r="D252" s="11"/>
      <c r="F252" s="11"/>
    </row>
    <row r="253">
      <c r="B253" s="11"/>
      <c r="C253" s="11"/>
      <c r="D253" s="11"/>
      <c r="F253" s="11"/>
    </row>
    <row r="254">
      <c r="B254" s="11"/>
      <c r="C254" s="11"/>
      <c r="D254" s="11"/>
      <c r="F254" s="11"/>
    </row>
    <row r="255">
      <c r="B255" s="11"/>
      <c r="C255" s="11"/>
      <c r="D255" s="11"/>
      <c r="F255" s="11"/>
    </row>
    <row r="256">
      <c r="B256" s="11"/>
      <c r="C256" s="11"/>
      <c r="D256" s="11"/>
      <c r="F256" s="11"/>
    </row>
    <row r="257">
      <c r="B257" s="11"/>
      <c r="C257" s="11"/>
      <c r="D257" s="11"/>
      <c r="F257" s="11"/>
    </row>
    <row r="258">
      <c r="B258" s="11"/>
      <c r="C258" s="11"/>
      <c r="D258" s="11"/>
      <c r="F258" s="11"/>
    </row>
    <row r="259">
      <c r="B259" s="11"/>
      <c r="C259" s="11"/>
      <c r="D259" s="11"/>
      <c r="F259" s="11"/>
    </row>
    <row r="260">
      <c r="B260" s="11"/>
      <c r="C260" s="11"/>
      <c r="D260" s="11"/>
      <c r="F260" s="11"/>
    </row>
    <row r="261">
      <c r="B261" s="11"/>
      <c r="C261" s="11"/>
      <c r="D261" s="11"/>
      <c r="F261" s="11"/>
    </row>
    <row r="262">
      <c r="B262" s="11"/>
      <c r="C262" s="11"/>
      <c r="D262" s="11"/>
      <c r="F262" s="11"/>
    </row>
    <row r="263">
      <c r="B263" s="11"/>
      <c r="C263" s="11"/>
      <c r="D263" s="11"/>
      <c r="F263" s="11"/>
    </row>
    <row r="264">
      <c r="B264" s="11"/>
      <c r="C264" s="11"/>
      <c r="D264" s="11"/>
      <c r="F264" s="11"/>
    </row>
    <row r="265">
      <c r="B265" s="11"/>
      <c r="C265" s="11"/>
      <c r="D265" s="11"/>
      <c r="F265" s="11"/>
    </row>
    <row r="266">
      <c r="B266" s="11"/>
      <c r="C266" s="11"/>
      <c r="D266" s="11"/>
      <c r="F266" s="11"/>
    </row>
    <row r="267">
      <c r="B267" s="11"/>
      <c r="C267" s="11"/>
      <c r="D267" s="11"/>
      <c r="F267" s="11"/>
    </row>
    <row r="268">
      <c r="B268" s="11"/>
      <c r="C268" s="11"/>
      <c r="D268" s="11"/>
      <c r="F268" s="11"/>
    </row>
    <row r="269">
      <c r="B269" s="11"/>
      <c r="C269" s="11"/>
      <c r="D269" s="11"/>
      <c r="F269" s="11"/>
    </row>
    <row r="270">
      <c r="B270" s="11"/>
      <c r="C270" s="11"/>
      <c r="D270" s="11"/>
      <c r="F270" s="11"/>
    </row>
    <row r="271">
      <c r="B271" s="11"/>
      <c r="C271" s="11"/>
      <c r="D271" s="11"/>
      <c r="F271" s="11"/>
    </row>
    <row r="272">
      <c r="B272" s="11"/>
      <c r="C272" s="11"/>
      <c r="D272" s="11"/>
      <c r="F272" s="11"/>
    </row>
    <row r="273">
      <c r="B273" s="11"/>
      <c r="C273" s="11"/>
      <c r="D273" s="11"/>
      <c r="F273" s="11"/>
    </row>
    <row r="274">
      <c r="B274" s="11"/>
      <c r="C274" s="11"/>
      <c r="D274" s="11"/>
      <c r="F274" s="11"/>
    </row>
    <row r="275">
      <c r="B275" s="11"/>
      <c r="C275" s="11"/>
      <c r="D275" s="11"/>
      <c r="F275" s="11"/>
    </row>
    <row r="276">
      <c r="B276" s="11"/>
      <c r="C276" s="11"/>
      <c r="D276" s="11"/>
      <c r="F276" s="11"/>
    </row>
    <row r="277">
      <c r="B277" s="11"/>
      <c r="C277" s="11"/>
      <c r="D277" s="11"/>
      <c r="F277" s="11"/>
    </row>
    <row r="278">
      <c r="B278" s="11"/>
      <c r="C278" s="11"/>
      <c r="D278" s="11"/>
      <c r="F278" s="11"/>
    </row>
    <row r="279">
      <c r="B279" s="11"/>
      <c r="C279" s="11"/>
      <c r="D279" s="11"/>
      <c r="F279" s="11"/>
    </row>
    <row r="280">
      <c r="B280" s="11"/>
      <c r="C280" s="11"/>
      <c r="D280" s="11"/>
      <c r="F280" s="11"/>
    </row>
    <row r="281">
      <c r="B281" s="11"/>
      <c r="C281" s="11"/>
      <c r="D281" s="11"/>
      <c r="F281" s="11"/>
    </row>
    <row r="282">
      <c r="B282" s="11"/>
      <c r="C282" s="11"/>
      <c r="D282" s="11"/>
      <c r="F282" s="11"/>
    </row>
    <row r="283">
      <c r="B283" s="11"/>
      <c r="C283" s="11"/>
      <c r="D283" s="11"/>
      <c r="F283" s="11"/>
    </row>
    <row r="284">
      <c r="B284" s="11"/>
      <c r="C284" s="11"/>
      <c r="D284" s="11"/>
      <c r="F284" s="11"/>
    </row>
    <row r="285">
      <c r="B285" s="11"/>
      <c r="C285" s="11"/>
      <c r="D285" s="11"/>
      <c r="F285" s="11"/>
    </row>
    <row r="286">
      <c r="B286" s="11"/>
      <c r="C286" s="11"/>
      <c r="D286" s="11"/>
      <c r="F286" s="11"/>
    </row>
    <row r="287">
      <c r="B287" s="11"/>
      <c r="C287" s="11"/>
      <c r="D287" s="11"/>
      <c r="F287" s="11"/>
    </row>
    <row r="288">
      <c r="B288" s="11"/>
      <c r="C288" s="11"/>
      <c r="D288" s="11"/>
      <c r="F288" s="11"/>
    </row>
    <row r="289">
      <c r="B289" s="11"/>
      <c r="C289" s="11"/>
      <c r="D289" s="11"/>
      <c r="F289" s="11"/>
    </row>
    <row r="290">
      <c r="B290" s="11"/>
      <c r="C290" s="11"/>
      <c r="D290" s="11"/>
      <c r="F290" s="11"/>
    </row>
    <row r="291">
      <c r="B291" s="11"/>
      <c r="C291" s="11"/>
      <c r="D291" s="11"/>
      <c r="F291" s="11"/>
    </row>
    <row r="292">
      <c r="B292" s="11"/>
      <c r="C292" s="11"/>
      <c r="D292" s="11"/>
      <c r="F292" s="11"/>
    </row>
    <row r="293">
      <c r="B293" s="11"/>
      <c r="C293" s="11"/>
      <c r="D293" s="11"/>
      <c r="F293" s="11"/>
    </row>
    <row r="294">
      <c r="B294" s="11"/>
      <c r="C294" s="11"/>
      <c r="D294" s="11"/>
      <c r="F294" s="11"/>
    </row>
    <row r="295">
      <c r="B295" s="11"/>
      <c r="C295" s="11"/>
      <c r="D295" s="11"/>
      <c r="F295" s="11"/>
    </row>
    <row r="296">
      <c r="B296" s="11"/>
      <c r="C296" s="11"/>
      <c r="D296" s="11"/>
      <c r="F296" s="11"/>
    </row>
    <row r="297">
      <c r="B297" s="11"/>
      <c r="C297" s="11"/>
      <c r="D297" s="11"/>
      <c r="F297" s="11"/>
    </row>
    <row r="298">
      <c r="B298" s="11"/>
      <c r="C298" s="11"/>
      <c r="D298" s="11"/>
      <c r="F298" s="11"/>
    </row>
    <row r="299">
      <c r="B299" s="11"/>
      <c r="C299" s="11"/>
      <c r="D299" s="11"/>
      <c r="F299" s="11"/>
    </row>
    <row r="300">
      <c r="B300" s="11"/>
      <c r="C300" s="11"/>
      <c r="D300" s="11"/>
      <c r="F300" s="11"/>
    </row>
    <row r="301">
      <c r="B301" s="11"/>
      <c r="C301" s="11"/>
      <c r="D301" s="11"/>
      <c r="F301" s="11"/>
    </row>
    <row r="302">
      <c r="B302" s="11"/>
      <c r="C302" s="11"/>
      <c r="D302" s="11"/>
      <c r="F302" s="11"/>
    </row>
    <row r="303">
      <c r="B303" s="11"/>
      <c r="C303" s="11"/>
      <c r="D303" s="11"/>
      <c r="F303" s="11"/>
    </row>
    <row r="304">
      <c r="B304" s="11"/>
      <c r="C304" s="11"/>
      <c r="D304" s="11"/>
      <c r="F304" s="11"/>
    </row>
    <row r="305">
      <c r="B305" s="11"/>
      <c r="C305" s="11"/>
      <c r="D305" s="11"/>
      <c r="F305" s="11"/>
    </row>
    <row r="306">
      <c r="B306" s="11"/>
      <c r="C306" s="11"/>
      <c r="D306" s="11"/>
      <c r="F306" s="11"/>
    </row>
    <row r="307">
      <c r="B307" s="11"/>
      <c r="C307" s="11"/>
      <c r="D307" s="11"/>
      <c r="F307" s="11"/>
    </row>
    <row r="308">
      <c r="B308" s="11"/>
      <c r="C308" s="11"/>
      <c r="D308" s="11"/>
      <c r="F308" s="11"/>
    </row>
    <row r="309">
      <c r="B309" s="11"/>
      <c r="C309" s="11"/>
      <c r="D309" s="11"/>
      <c r="F309" s="11"/>
    </row>
    <row r="310">
      <c r="B310" s="11"/>
      <c r="C310" s="11"/>
      <c r="D310" s="11"/>
      <c r="F310" s="11"/>
    </row>
    <row r="311">
      <c r="B311" s="11"/>
      <c r="C311" s="11"/>
      <c r="D311" s="11"/>
      <c r="F311" s="11"/>
    </row>
    <row r="312">
      <c r="B312" s="11"/>
      <c r="C312" s="11"/>
      <c r="D312" s="11"/>
      <c r="F312" s="11"/>
    </row>
    <row r="313">
      <c r="B313" s="11"/>
      <c r="C313" s="11"/>
      <c r="D313" s="11"/>
      <c r="F313" s="11"/>
    </row>
    <row r="314">
      <c r="B314" s="11"/>
      <c r="C314" s="11"/>
      <c r="D314" s="11"/>
      <c r="F314" s="11"/>
    </row>
    <row r="315">
      <c r="B315" s="11"/>
      <c r="C315" s="11"/>
      <c r="D315" s="11"/>
      <c r="F315" s="11"/>
    </row>
    <row r="316">
      <c r="B316" s="11"/>
      <c r="C316" s="11"/>
      <c r="D316" s="11"/>
      <c r="F316" s="11"/>
    </row>
    <row r="317">
      <c r="B317" s="11"/>
      <c r="C317" s="11"/>
      <c r="D317" s="11"/>
      <c r="F317" s="11"/>
    </row>
    <row r="318">
      <c r="B318" s="11"/>
      <c r="C318" s="11"/>
      <c r="D318" s="11"/>
      <c r="F318" s="11"/>
    </row>
    <row r="319">
      <c r="B319" s="11"/>
      <c r="C319" s="11"/>
      <c r="D319" s="11"/>
      <c r="F319" s="11"/>
    </row>
    <row r="320">
      <c r="B320" s="11"/>
      <c r="C320" s="11"/>
      <c r="D320" s="11"/>
      <c r="F320" s="11"/>
    </row>
    <row r="321">
      <c r="B321" s="11"/>
      <c r="C321" s="11"/>
      <c r="D321" s="11"/>
      <c r="F321" s="11"/>
    </row>
    <row r="322">
      <c r="B322" s="11"/>
      <c r="C322" s="11"/>
      <c r="D322" s="11"/>
      <c r="F322" s="11"/>
    </row>
    <row r="323">
      <c r="B323" s="11"/>
      <c r="C323" s="11"/>
      <c r="D323" s="11"/>
      <c r="F323" s="11"/>
    </row>
    <row r="324">
      <c r="B324" s="11"/>
      <c r="C324" s="11"/>
      <c r="D324" s="11"/>
      <c r="F324" s="11"/>
    </row>
    <row r="325">
      <c r="B325" s="11"/>
      <c r="C325" s="11"/>
      <c r="D325" s="11"/>
      <c r="F325" s="11"/>
    </row>
    <row r="326">
      <c r="B326" s="11"/>
      <c r="C326" s="11"/>
      <c r="D326" s="11"/>
      <c r="F326" s="11"/>
    </row>
    <row r="327">
      <c r="B327" s="11"/>
      <c r="C327" s="11"/>
      <c r="D327" s="11"/>
      <c r="F327" s="11"/>
    </row>
    <row r="328">
      <c r="B328" s="11"/>
      <c r="C328" s="11"/>
      <c r="D328" s="11"/>
      <c r="F328" s="11"/>
    </row>
    <row r="329">
      <c r="B329" s="11"/>
      <c r="C329" s="11"/>
      <c r="D329" s="11"/>
      <c r="F329" s="11"/>
    </row>
    <row r="330">
      <c r="B330" s="11"/>
      <c r="C330" s="11"/>
      <c r="D330" s="11"/>
      <c r="F330" s="11"/>
    </row>
    <row r="331">
      <c r="B331" s="11"/>
      <c r="C331" s="11"/>
      <c r="D331" s="11"/>
      <c r="F331" s="11"/>
    </row>
    <row r="332">
      <c r="B332" s="11"/>
      <c r="C332" s="11"/>
      <c r="D332" s="11"/>
      <c r="F332" s="11"/>
    </row>
    <row r="333">
      <c r="B333" s="11"/>
      <c r="C333" s="11"/>
      <c r="D333" s="11"/>
      <c r="F333" s="11"/>
    </row>
    <row r="334">
      <c r="B334" s="11"/>
      <c r="C334" s="11"/>
      <c r="D334" s="11"/>
      <c r="F334" s="11"/>
    </row>
    <row r="335">
      <c r="B335" s="11"/>
      <c r="C335" s="11"/>
      <c r="D335" s="11"/>
      <c r="F335" s="11"/>
    </row>
    <row r="336">
      <c r="B336" s="11"/>
      <c r="C336" s="11"/>
      <c r="D336" s="11"/>
      <c r="F336" s="11"/>
    </row>
    <row r="337">
      <c r="B337" s="11"/>
      <c r="C337" s="11"/>
      <c r="D337" s="11"/>
      <c r="F337" s="11"/>
    </row>
    <row r="338">
      <c r="B338" s="11"/>
      <c r="C338" s="11"/>
      <c r="D338" s="11"/>
      <c r="F338" s="11"/>
    </row>
    <row r="339">
      <c r="B339" s="11"/>
      <c r="C339" s="11"/>
      <c r="D339" s="11"/>
      <c r="F339" s="11"/>
    </row>
    <row r="340">
      <c r="B340" s="11"/>
      <c r="C340" s="11"/>
      <c r="D340" s="11"/>
      <c r="F340" s="11"/>
    </row>
    <row r="341">
      <c r="B341" s="11"/>
      <c r="C341" s="11"/>
      <c r="D341" s="11"/>
      <c r="F341" s="11"/>
    </row>
    <row r="342">
      <c r="B342" s="11"/>
      <c r="C342" s="11"/>
      <c r="D342" s="11"/>
      <c r="F342" s="11"/>
    </row>
    <row r="343">
      <c r="B343" s="11"/>
      <c r="C343" s="11"/>
      <c r="D343" s="11"/>
      <c r="F343" s="11"/>
    </row>
    <row r="344">
      <c r="B344" s="11"/>
      <c r="C344" s="11"/>
      <c r="D344" s="11"/>
      <c r="F344" s="11"/>
    </row>
    <row r="345">
      <c r="B345" s="11"/>
      <c r="C345" s="11"/>
      <c r="D345" s="11"/>
      <c r="F345" s="11"/>
    </row>
    <row r="346">
      <c r="B346" s="11"/>
      <c r="C346" s="11"/>
      <c r="D346" s="11"/>
      <c r="F346" s="11"/>
    </row>
    <row r="347">
      <c r="B347" s="11"/>
      <c r="C347" s="11"/>
      <c r="D347" s="11"/>
      <c r="F347" s="11"/>
    </row>
    <row r="348">
      <c r="B348" s="11"/>
      <c r="C348" s="11"/>
      <c r="D348" s="11"/>
      <c r="F348" s="11"/>
    </row>
    <row r="349">
      <c r="B349" s="11"/>
      <c r="C349" s="11"/>
      <c r="D349" s="11"/>
      <c r="F349" s="11"/>
    </row>
    <row r="350">
      <c r="B350" s="11"/>
      <c r="C350" s="11"/>
      <c r="D350" s="11"/>
      <c r="F350" s="11"/>
    </row>
    <row r="351">
      <c r="B351" s="11"/>
      <c r="C351" s="11"/>
      <c r="D351" s="11"/>
      <c r="F351" s="11"/>
    </row>
    <row r="352">
      <c r="B352" s="11"/>
      <c r="C352" s="11"/>
      <c r="D352" s="11"/>
      <c r="F352" s="11"/>
    </row>
    <row r="353">
      <c r="B353" s="11"/>
      <c r="C353" s="11"/>
      <c r="D353" s="11"/>
      <c r="F353" s="11"/>
    </row>
    <row r="354">
      <c r="B354" s="11"/>
      <c r="C354" s="11"/>
      <c r="D354" s="11"/>
      <c r="F354" s="11"/>
    </row>
    <row r="355">
      <c r="B355" s="11"/>
      <c r="C355" s="11"/>
      <c r="D355" s="11"/>
      <c r="F355" s="11"/>
    </row>
    <row r="356">
      <c r="B356" s="11"/>
      <c r="C356" s="11"/>
      <c r="D356" s="11"/>
      <c r="F356" s="11"/>
    </row>
    <row r="357">
      <c r="B357" s="11"/>
      <c r="C357" s="11"/>
      <c r="D357" s="11"/>
      <c r="F357" s="11"/>
    </row>
    <row r="358">
      <c r="B358" s="11"/>
      <c r="C358" s="11"/>
      <c r="D358" s="11"/>
      <c r="F358" s="11"/>
    </row>
    <row r="359">
      <c r="B359" s="11"/>
      <c r="C359" s="11"/>
      <c r="D359" s="11"/>
      <c r="F359" s="11"/>
    </row>
    <row r="360">
      <c r="B360" s="11"/>
      <c r="C360" s="11"/>
      <c r="D360" s="11"/>
      <c r="F360" s="11"/>
    </row>
    <row r="361">
      <c r="B361" s="11"/>
      <c r="C361" s="11"/>
      <c r="D361" s="11"/>
      <c r="F361" s="11"/>
    </row>
    <row r="362">
      <c r="B362" s="11"/>
      <c r="C362" s="11"/>
      <c r="D362" s="11"/>
      <c r="F362" s="11"/>
    </row>
    <row r="363">
      <c r="B363" s="11"/>
      <c r="C363" s="11"/>
      <c r="D363" s="11"/>
      <c r="F363" s="11"/>
    </row>
    <row r="364">
      <c r="B364" s="11"/>
      <c r="C364" s="11"/>
      <c r="D364" s="11"/>
      <c r="F364" s="11"/>
    </row>
    <row r="365">
      <c r="B365" s="11"/>
      <c r="C365" s="11"/>
      <c r="D365" s="11"/>
      <c r="F365" s="11"/>
    </row>
    <row r="366">
      <c r="B366" s="11"/>
      <c r="C366" s="11"/>
      <c r="D366" s="11"/>
      <c r="F366" s="11"/>
    </row>
    <row r="367">
      <c r="B367" s="11"/>
      <c r="C367" s="11"/>
      <c r="D367" s="11"/>
      <c r="F367" s="11"/>
    </row>
    <row r="368">
      <c r="B368" s="11"/>
      <c r="C368" s="11"/>
      <c r="D368" s="11"/>
      <c r="F368" s="11"/>
    </row>
    <row r="369">
      <c r="B369" s="11"/>
      <c r="C369" s="11"/>
      <c r="D369" s="11"/>
      <c r="F369" s="11"/>
    </row>
    <row r="370">
      <c r="B370" s="11"/>
      <c r="C370" s="11"/>
      <c r="D370" s="11"/>
      <c r="F370" s="11"/>
    </row>
    <row r="371">
      <c r="B371" s="11"/>
      <c r="C371" s="11"/>
      <c r="D371" s="11"/>
      <c r="F371" s="11"/>
    </row>
    <row r="372">
      <c r="B372" s="11"/>
      <c r="C372" s="11"/>
      <c r="D372" s="11"/>
      <c r="F372" s="11"/>
    </row>
    <row r="373">
      <c r="B373" s="11"/>
      <c r="C373" s="11"/>
      <c r="D373" s="11"/>
      <c r="F373" s="11"/>
    </row>
    <row r="374">
      <c r="B374" s="11"/>
      <c r="C374" s="11"/>
      <c r="D374" s="11"/>
      <c r="F374" s="11"/>
    </row>
    <row r="375">
      <c r="B375" s="11"/>
      <c r="C375" s="11"/>
      <c r="D375" s="11"/>
      <c r="F375" s="11"/>
    </row>
    <row r="376">
      <c r="B376" s="11"/>
      <c r="C376" s="11"/>
      <c r="D376" s="11"/>
      <c r="F376" s="11"/>
    </row>
    <row r="377">
      <c r="B377" s="11"/>
      <c r="C377" s="11"/>
      <c r="D377" s="11"/>
      <c r="F377" s="11"/>
    </row>
    <row r="378">
      <c r="B378" s="11"/>
      <c r="C378" s="11"/>
      <c r="D378" s="11"/>
      <c r="F378" s="11"/>
    </row>
    <row r="379">
      <c r="B379" s="11"/>
      <c r="C379" s="11"/>
      <c r="D379" s="11"/>
      <c r="F379" s="11"/>
    </row>
    <row r="380">
      <c r="B380" s="11"/>
      <c r="C380" s="11"/>
      <c r="D380" s="11"/>
      <c r="F380" s="11"/>
    </row>
    <row r="381">
      <c r="B381" s="11"/>
      <c r="C381" s="11"/>
      <c r="D381" s="11"/>
      <c r="F381" s="11"/>
    </row>
    <row r="382">
      <c r="B382" s="11"/>
      <c r="C382" s="11"/>
      <c r="D382" s="11"/>
      <c r="F382" s="11"/>
    </row>
    <row r="383">
      <c r="B383" s="11"/>
      <c r="C383" s="11"/>
      <c r="D383" s="11"/>
      <c r="F383" s="11"/>
    </row>
    <row r="384">
      <c r="B384" s="11"/>
      <c r="C384" s="11"/>
      <c r="D384" s="11"/>
      <c r="F384" s="11"/>
    </row>
    <row r="385">
      <c r="B385" s="11"/>
      <c r="C385" s="11"/>
      <c r="D385" s="11"/>
      <c r="F385" s="11"/>
    </row>
    <row r="386">
      <c r="B386" s="11"/>
      <c r="C386" s="11"/>
      <c r="D386" s="11"/>
      <c r="F386" s="11"/>
    </row>
    <row r="387">
      <c r="B387" s="11"/>
      <c r="C387" s="11"/>
      <c r="D387" s="11"/>
      <c r="F387" s="11"/>
    </row>
    <row r="388">
      <c r="B388" s="11"/>
      <c r="C388" s="11"/>
      <c r="D388" s="11"/>
      <c r="F388" s="11"/>
    </row>
    <row r="389">
      <c r="B389" s="11"/>
      <c r="C389" s="11"/>
      <c r="D389" s="11"/>
      <c r="F389" s="11"/>
    </row>
    <row r="390">
      <c r="B390" s="11"/>
      <c r="C390" s="11"/>
      <c r="D390" s="11"/>
      <c r="F390" s="11"/>
    </row>
    <row r="391">
      <c r="B391" s="11"/>
      <c r="C391" s="11"/>
      <c r="D391" s="11"/>
      <c r="F391" s="11"/>
    </row>
    <row r="392">
      <c r="B392" s="11"/>
      <c r="C392" s="11"/>
      <c r="D392" s="11"/>
      <c r="F392" s="11"/>
    </row>
    <row r="393">
      <c r="B393" s="11"/>
      <c r="C393" s="11"/>
      <c r="D393" s="11"/>
      <c r="F393" s="11"/>
    </row>
    <row r="394">
      <c r="B394" s="11"/>
      <c r="C394" s="11"/>
      <c r="D394" s="11"/>
      <c r="F394" s="11"/>
    </row>
    <row r="395">
      <c r="B395" s="11"/>
      <c r="C395" s="11"/>
      <c r="D395" s="11"/>
      <c r="F395" s="11"/>
    </row>
    <row r="396">
      <c r="B396" s="11"/>
      <c r="C396" s="11"/>
      <c r="D396" s="11"/>
      <c r="F396" s="11"/>
    </row>
    <row r="397">
      <c r="B397" s="11"/>
      <c r="C397" s="11"/>
      <c r="D397" s="11"/>
      <c r="F397" s="11"/>
    </row>
    <row r="398">
      <c r="B398" s="11"/>
      <c r="C398" s="11"/>
      <c r="D398" s="11"/>
      <c r="F398" s="11"/>
    </row>
    <row r="399">
      <c r="B399" s="11"/>
      <c r="C399" s="11"/>
      <c r="D399" s="11"/>
      <c r="F399" s="11"/>
    </row>
    <row r="400">
      <c r="B400" s="11"/>
      <c r="C400" s="11"/>
      <c r="D400" s="11"/>
      <c r="F400" s="11"/>
    </row>
    <row r="401">
      <c r="B401" s="11"/>
      <c r="C401" s="11"/>
      <c r="D401" s="11"/>
      <c r="F401" s="11"/>
    </row>
    <row r="402">
      <c r="B402" s="11"/>
      <c r="C402" s="11"/>
      <c r="D402" s="11"/>
      <c r="F402" s="11"/>
    </row>
    <row r="403">
      <c r="B403" s="11"/>
      <c r="C403" s="11"/>
      <c r="D403" s="11"/>
      <c r="F403" s="11"/>
    </row>
    <row r="404">
      <c r="B404" s="11"/>
      <c r="C404" s="11"/>
      <c r="D404" s="11"/>
      <c r="F404" s="11"/>
    </row>
    <row r="405">
      <c r="B405" s="11"/>
      <c r="C405" s="11"/>
      <c r="D405" s="11"/>
      <c r="F405" s="11"/>
    </row>
    <row r="406">
      <c r="B406" s="11"/>
      <c r="C406" s="11"/>
      <c r="D406" s="11"/>
      <c r="F406" s="11"/>
    </row>
    <row r="407">
      <c r="B407" s="11"/>
      <c r="C407" s="11"/>
      <c r="D407" s="11"/>
      <c r="F407" s="11"/>
    </row>
    <row r="408">
      <c r="B408" s="11"/>
      <c r="C408" s="11"/>
      <c r="D408" s="11"/>
      <c r="F408" s="11"/>
    </row>
    <row r="409">
      <c r="B409" s="11"/>
      <c r="C409" s="11"/>
      <c r="D409" s="11"/>
      <c r="F409" s="11"/>
    </row>
    <row r="410">
      <c r="B410" s="11"/>
      <c r="C410" s="11"/>
      <c r="D410" s="11"/>
      <c r="F410" s="11"/>
    </row>
    <row r="411">
      <c r="B411" s="11"/>
      <c r="C411" s="11"/>
      <c r="D411" s="11"/>
      <c r="F411" s="11"/>
    </row>
    <row r="412">
      <c r="B412" s="11"/>
      <c r="C412" s="11"/>
      <c r="D412" s="11"/>
      <c r="F412" s="11"/>
    </row>
    <row r="413">
      <c r="B413" s="11"/>
      <c r="C413" s="11"/>
      <c r="D413" s="11"/>
      <c r="F413" s="11"/>
    </row>
    <row r="414">
      <c r="B414" s="11"/>
      <c r="C414" s="11"/>
      <c r="D414" s="11"/>
      <c r="F414" s="11"/>
    </row>
    <row r="415">
      <c r="B415" s="11"/>
      <c r="C415" s="11"/>
      <c r="D415" s="11"/>
      <c r="F415" s="11"/>
    </row>
    <row r="416">
      <c r="B416" s="11"/>
      <c r="C416" s="11"/>
      <c r="D416" s="11"/>
      <c r="F416" s="11"/>
    </row>
    <row r="417">
      <c r="B417" s="11"/>
      <c r="C417" s="11"/>
      <c r="D417" s="11"/>
      <c r="F417" s="11"/>
    </row>
    <row r="418">
      <c r="B418" s="11"/>
      <c r="C418" s="11"/>
      <c r="D418" s="11"/>
      <c r="F418" s="11"/>
    </row>
    <row r="419">
      <c r="B419" s="11"/>
      <c r="C419" s="11"/>
      <c r="D419" s="11"/>
      <c r="F419" s="11"/>
    </row>
    <row r="420">
      <c r="B420" s="11"/>
      <c r="C420" s="11"/>
      <c r="D420" s="11"/>
      <c r="F420" s="11"/>
    </row>
    <row r="421">
      <c r="B421" s="11"/>
      <c r="C421" s="11"/>
      <c r="D421" s="11"/>
      <c r="F421" s="11"/>
    </row>
    <row r="422">
      <c r="B422" s="11"/>
      <c r="C422" s="11"/>
      <c r="D422" s="11"/>
      <c r="F422" s="11"/>
    </row>
    <row r="423">
      <c r="B423" s="11"/>
      <c r="C423" s="11"/>
      <c r="D423" s="11"/>
      <c r="F423" s="11"/>
    </row>
    <row r="424">
      <c r="B424" s="11"/>
      <c r="C424" s="11"/>
      <c r="D424" s="11"/>
      <c r="F424" s="11"/>
    </row>
    <row r="425">
      <c r="B425" s="11"/>
      <c r="C425" s="11"/>
      <c r="D425" s="11"/>
      <c r="F425" s="11"/>
    </row>
    <row r="426">
      <c r="B426" s="11"/>
      <c r="C426" s="11"/>
      <c r="D426" s="11"/>
      <c r="F426" s="11"/>
    </row>
    <row r="427">
      <c r="B427" s="11"/>
      <c r="C427" s="11"/>
      <c r="D427" s="11"/>
      <c r="F427" s="11"/>
    </row>
    <row r="428">
      <c r="B428" s="11"/>
      <c r="C428" s="11"/>
      <c r="D428" s="11"/>
      <c r="F428" s="11"/>
    </row>
    <row r="429">
      <c r="B429" s="11"/>
      <c r="C429" s="11"/>
      <c r="D429" s="11"/>
      <c r="F429" s="11"/>
    </row>
    <row r="430">
      <c r="B430" s="11"/>
      <c r="C430" s="11"/>
      <c r="D430" s="11"/>
      <c r="F430" s="11"/>
    </row>
    <row r="431">
      <c r="B431" s="11"/>
      <c r="C431" s="11"/>
      <c r="D431" s="11"/>
      <c r="F431" s="11"/>
    </row>
    <row r="432">
      <c r="B432" s="11"/>
      <c r="C432" s="11"/>
      <c r="D432" s="11"/>
      <c r="F432" s="11"/>
    </row>
    <row r="433">
      <c r="B433" s="11"/>
      <c r="C433" s="11"/>
      <c r="D433" s="11"/>
      <c r="F433" s="11"/>
    </row>
    <row r="434">
      <c r="B434" s="11"/>
      <c r="C434" s="11"/>
      <c r="D434" s="11"/>
      <c r="F434" s="11"/>
    </row>
    <row r="435">
      <c r="B435" s="11"/>
      <c r="C435" s="11"/>
      <c r="D435" s="11"/>
      <c r="F435" s="11"/>
    </row>
    <row r="436">
      <c r="B436" s="11"/>
      <c r="C436" s="11"/>
      <c r="D436" s="11"/>
      <c r="F436" s="11"/>
    </row>
    <row r="437">
      <c r="B437" s="11"/>
      <c r="C437" s="11"/>
      <c r="D437" s="11"/>
      <c r="F437" s="11"/>
    </row>
    <row r="438">
      <c r="B438" s="11"/>
      <c r="C438" s="11"/>
      <c r="D438" s="11"/>
      <c r="F438" s="11"/>
    </row>
    <row r="439">
      <c r="B439" s="11"/>
      <c r="C439" s="11"/>
      <c r="D439" s="11"/>
      <c r="F439" s="11"/>
    </row>
    <row r="440">
      <c r="B440" s="11"/>
      <c r="C440" s="11"/>
      <c r="D440" s="11"/>
      <c r="F440" s="11"/>
    </row>
    <row r="441">
      <c r="B441" s="11"/>
      <c r="C441" s="11"/>
      <c r="D441" s="11"/>
      <c r="F441" s="11"/>
    </row>
    <row r="442">
      <c r="B442" s="11"/>
      <c r="C442" s="11"/>
      <c r="D442" s="11"/>
      <c r="F442" s="11"/>
    </row>
    <row r="443">
      <c r="B443" s="11"/>
      <c r="C443" s="11"/>
      <c r="D443" s="11"/>
      <c r="F443" s="11"/>
    </row>
    <row r="444">
      <c r="B444" s="11"/>
      <c r="C444" s="11"/>
      <c r="D444" s="11"/>
      <c r="F444" s="11"/>
    </row>
    <row r="445">
      <c r="B445" s="11"/>
      <c r="C445" s="11"/>
      <c r="D445" s="11"/>
      <c r="F445" s="11"/>
    </row>
    <row r="446">
      <c r="B446" s="11"/>
      <c r="C446" s="11"/>
      <c r="D446" s="11"/>
      <c r="F446" s="11"/>
    </row>
    <row r="447">
      <c r="B447" s="11"/>
      <c r="C447" s="11"/>
      <c r="D447" s="11"/>
      <c r="F447" s="11"/>
    </row>
    <row r="448">
      <c r="B448" s="11"/>
      <c r="C448" s="11"/>
      <c r="D448" s="11"/>
      <c r="F448" s="11"/>
    </row>
    <row r="449">
      <c r="B449" s="11"/>
      <c r="C449" s="11"/>
      <c r="D449" s="11"/>
      <c r="F449" s="11"/>
    </row>
    <row r="450">
      <c r="B450" s="11"/>
      <c r="C450" s="11"/>
      <c r="D450" s="11"/>
      <c r="F450" s="11"/>
    </row>
    <row r="451">
      <c r="B451" s="11"/>
      <c r="C451" s="11"/>
      <c r="D451" s="11"/>
      <c r="F451" s="11"/>
    </row>
    <row r="452">
      <c r="B452" s="11"/>
      <c r="C452" s="11"/>
      <c r="D452" s="11"/>
      <c r="F452" s="11"/>
    </row>
    <row r="453">
      <c r="B453" s="11"/>
      <c r="C453" s="11"/>
      <c r="D453" s="11"/>
      <c r="F453" s="11"/>
    </row>
    <row r="454">
      <c r="B454" s="11"/>
      <c r="C454" s="11"/>
      <c r="D454" s="11"/>
      <c r="F454" s="11"/>
    </row>
    <row r="455">
      <c r="B455" s="11"/>
      <c r="C455" s="11"/>
      <c r="D455" s="11"/>
      <c r="F455" s="11"/>
    </row>
    <row r="456">
      <c r="B456" s="11"/>
      <c r="C456" s="11"/>
      <c r="D456" s="11"/>
      <c r="F456" s="11"/>
    </row>
    <row r="457">
      <c r="B457" s="11"/>
      <c r="C457" s="11"/>
      <c r="D457" s="11"/>
      <c r="F457" s="11"/>
    </row>
    <row r="458">
      <c r="B458" s="11"/>
      <c r="C458" s="11"/>
      <c r="D458" s="11"/>
      <c r="F458" s="11"/>
    </row>
    <row r="459">
      <c r="B459" s="11"/>
      <c r="C459" s="11"/>
      <c r="D459" s="11"/>
      <c r="F459" s="11"/>
    </row>
    <row r="460">
      <c r="B460" s="11"/>
      <c r="C460" s="11"/>
      <c r="D460" s="11"/>
      <c r="F460" s="11"/>
    </row>
    <row r="461">
      <c r="B461" s="11"/>
      <c r="C461" s="11"/>
      <c r="D461" s="11"/>
      <c r="F461" s="11"/>
    </row>
    <row r="462">
      <c r="B462" s="11"/>
      <c r="C462" s="11"/>
      <c r="D462" s="11"/>
      <c r="F462" s="11"/>
    </row>
    <row r="463">
      <c r="B463" s="11"/>
      <c r="C463" s="11"/>
      <c r="D463" s="11"/>
      <c r="F463" s="11"/>
    </row>
    <row r="464">
      <c r="B464" s="11"/>
      <c r="C464" s="11"/>
      <c r="D464" s="11"/>
      <c r="F464" s="11"/>
    </row>
    <row r="465">
      <c r="B465" s="11"/>
      <c r="C465" s="11"/>
      <c r="D465" s="11"/>
      <c r="F465" s="11"/>
    </row>
    <row r="466">
      <c r="B466" s="11"/>
      <c r="C466" s="11"/>
      <c r="D466" s="11"/>
      <c r="F466" s="11"/>
    </row>
    <row r="467">
      <c r="B467" s="11"/>
      <c r="C467" s="11"/>
      <c r="D467" s="11"/>
      <c r="F467" s="11"/>
    </row>
    <row r="468">
      <c r="B468" s="11"/>
      <c r="C468" s="11"/>
      <c r="D468" s="11"/>
      <c r="F468" s="11"/>
    </row>
    <row r="469">
      <c r="B469" s="11"/>
      <c r="C469" s="11"/>
      <c r="D469" s="11"/>
      <c r="F469" s="11"/>
    </row>
    <row r="470">
      <c r="B470" s="11"/>
      <c r="C470" s="11"/>
      <c r="D470" s="11"/>
      <c r="F470" s="11"/>
    </row>
    <row r="471">
      <c r="B471" s="11"/>
      <c r="C471" s="11"/>
      <c r="D471" s="11"/>
      <c r="F471" s="11"/>
    </row>
    <row r="472">
      <c r="B472" s="11"/>
      <c r="C472" s="11"/>
      <c r="D472" s="11"/>
      <c r="F472" s="11"/>
    </row>
    <row r="473">
      <c r="B473" s="11"/>
      <c r="C473" s="11"/>
      <c r="D473" s="11"/>
      <c r="F473" s="11"/>
    </row>
    <row r="474">
      <c r="B474" s="11"/>
      <c r="C474" s="11"/>
      <c r="D474" s="11"/>
      <c r="F474" s="11"/>
    </row>
    <row r="475">
      <c r="B475" s="11"/>
      <c r="C475" s="11"/>
      <c r="D475" s="11"/>
      <c r="F475" s="11"/>
    </row>
    <row r="476">
      <c r="B476" s="11"/>
      <c r="C476" s="11"/>
      <c r="D476" s="11"/>
      <c r="F476" s="11"/>
    </row>
    <row r="477">
      <c r="B477" s="11"/>
      <c r="C477" s="11"/>
      <c r="D477" s="11"/>
      <c r="F477" s="11"/>
    </row>
    <row r="478">
      <c r="B478" s="11"/>
      <c r="C478" s="11"/>
      <c r="D478" s="11"/>
      <c r="F478" s="11"/>
    </row>
    <row r="479">
      <c r="B479" s="11"/>
      <c r="C479" s="11"/>
      <c r="D479" s="11"/>
      <c r="F479" s="11"/>
    </row>
    <row r="480">
      <c r="B480" s="11"/>
      <c r="C480" s="11"/>
      <c r="D480" s="11"/>
      <c r="F480" s="11"/>
    </row>
    <row r="481">
      <c r="B481" s="11"/>
      <c r="C481" s="11"/>
      <c r="D481" s="11"/>
      <c r="F481" s="11"/>
    </row>
    <row r="482">
      <c r="B482" s="11"/>
      <c r="C482" s="11"/>
      <c r="D482" s="11"/>
      <c r="F482" s="11"/>
    </row>
    <row r="483">
      <c r="B483" s="11"/>
      <c r="C483" s="11"/>
      <c r="D483" s="11"/>
      <c r="F483" s="11"/>
    </row>
    <row r="484">
      <c r="B484" s="11"/>
      <c r="C484" s="11"/>
      <c r="D484" s="11"/>
      <c r="F484" s="11"/>
    </row>
    <row r="485">
      <c r="B485" s="11"/>
      <c r="C485" s="11"/>
      <c r="D485" s="11"/>
      <c r="F485" s="11"/>
    </row>
    <row r="486">
      <c r="B486" s="11"/>
      <c r="C486" s="11"/>
      <c r="D486" s="11"/>
      <c r="F486" s="11"/>
    </row>
    <row r="487">
      <c r="B487" s="11"/>
      <c r="C487" s="11"/>
      <c r="D487" s="11"/>
      <c r="F487" s="11"/>
    </row>
    <row r="488">
      <c r="B488" s="11"/>
      <c r="C488" s="11"/>
      <c r="D488" s="11"/>
      <c r="F488" s="11"/>
    </row>
    <row r="489">
      <c r="B489" s="11"/>
      <c r="C489" s="11"/>
      <c r="D489" s="11"/>
      <c r="F489" s="11"/>
    </row>
    <row r="490">
      <c r="B490" s="11"/>
      <c r="C490" s="11"/>
      <c r="D490" s="11"/>
      <c r="F490" s="11"/>
    </row>
    <row r="491">
      <c r="B491" s="11"/>
      <c r="C491" s="11"/>
      <c r="D491" s="11"/>
      <c r="F491" s="11"/>
    </row>
    <row r="492">
      <c r="B492" s="11"/>
      <c r="C492" s="11"/>
      <c r="D492" s="11"/>
      <c r="F492" s="11"/>
    </row>
    <row r="493">
      <c r="B493" s="11"/>
      <c r="C493" s="11"/>
      <c r="D493" s="11"/>
      <c r="F493" s="11"/>
    </row>
    <row r="494">
      <c r="B494" s="11"/>
      <c r="C494" s="11"/>
      <c r="D494" s="11"/>
      <c r="F494" s="11"/>
    </row>
    <row r="495">
      <c r="B495" s="11"/>
      <c r="C495" s="11"/>
      <c r="D495" s="11"/>
      <c r="F495" s="11"/>
    </row>
    <row r="496">
      <c r="B496" s="11"/>
      <c r="C496" s="11"/>
      <c r="D496" s="11"/>
      <c r="F496" s="11"/>
    </row>
    <row r="497">
      <c r="B497" s="11"/>
      <c r="C497" s="11"/>
      <c r="D497" s="11"/>
      <c r="F497" s="11"/>
    </row>
    <row r="498">
      <c r="B498" s="11"/>
      <c r="C498" s="11"/>
      <c r="D498" s="11"/>
      <c r="F498" s="11"/>
    </row>
    <row r="499">
      <c r="B499" s="11"/>
      <c r="C499" s="11"/>
      <c r="D499" s="11"/>
      <c r="F499" s="11"/>
    </row>
    <row r="500">
      <c r="B500" s="11"/>
      <c r="C500" s="11"/>
      <c r="D500" s="11"/>
      <c r="F500" s="11"/>
    </row>
    <row r="501">
      <c r="B501" s="11"/>
      <c r="C501" s="11"/>
      <c r="D501" s="11"/>
      <c r="F501" s="11"/>
    </row>
    <row r="502">
      <c r="B502" s="11"/>
      <c r="C502" s="11"/>
      <c r="D502" s="11"/>
      <c r="F502" s="11"/>
    </row>
    <row r="503">
      <c r="B503" s="11"/>
      <c r="C503" s="11"/>
      <c r="D503" s="11"/>
      <c r="F503" s="11"/>
    </row>
    <row r="504">
      <c r="B504" s="11"/>
      <c r="C504" s="11"/>
      <c r="D504" s="11"/>
      <c r="F504" s="11"/>
    </row>
    <row r="505">
      <c r="B505" s="11"/>
      <c r="C505" s="11"/>
      <c r="D505" s="11"/>
      <c r="F505" s="11"/>
    </row>
    <row r="506">
      <c r="B506" s="11"/>
      <c r="C506" s="11"/>
      <c r="D506" s="11"/>
      <c r="F506" s="11"/>
    </row>
    <row r="507">
      <c r="B507" s="11"/>
      <c r="C507" s="11"/>
      <c r="D507" s="11"/>
      <c r="F507" s="11"/>
    </row>
    <row r="508">
      <c r="B508" s="11"/>
      <c r="C508" s="11"/>
      <c r="D508" s="11"/>
      <c r="F508" s="11"/>
    </row>
    <row r="509">
      <c r="B509" s="11"/>
      <c r="C509" s="11"/>
      <c r="D509" s="11"/>
      <c r="F509" s="11"/>
    </row>
    <row r="510">
      <c r="B510" s="11"/>
      <c r="C510" s="11"/>
      <c r="D510" s="11"/>
      <c r="F510" s="11"/>
    </row>
    <row r="511">
      <c r="B511" s="11"/>
      <c r="C511" s="11"/>
      <c r="D511" s="11"/>
      <c r="F511" s="11"/>
    </row>
    <row r="512">
      <c r="B512" s="11"/>
      <c r="C512" s="11"/>
      <c r="D512" s="11"/>
      <c r="F512" s="11"/>
    </row>
    <row r="513">
      <c r="B513" s="11"/>
      <c r="C513" s="11"/>
      <c r="D513" s="11"/>
      <c r="F513" s="11"/>
    </row>
    <row r="514">
      <c r="B514" s="11"/>
      <c r="C514" s="11"/>
      <c r="D514" s="11"/>
      <c r="F514" s="11"/>
    </row>
    <row r="515">
      <c r="B515" s="11"/>
      <c r="C515" s="11"/>
      <c r="D515" s="11"/>
      <c r="F515" s="11"/>
    </row>
    <row r="516">
      <c r="B516" s="11"/>
      <c r="C516" s="11"/>
      <c r="D516" s="11"/>
      <c r="F516" s="11"/>
    </row>
    <row r="517">
      <c r="B517" s="11"/>
      <c r="C517" s="11"/>
      <c r="D517" s="11"/>
      <c r="F517" s="11"/>
    </row>
    <row r="518">
      <c r="B518" s="11"/>
      <c r="C518" s="11"/>
      <c r="D518" s="11"/>
      <c r="F518" s="11"/>
    </row>
    <row r="519">
      <c r="B519" s="11"/>
      <c r="C519" s="11"/>
      <c r="D519" s="11"/>
      <c r="F519" s="11"/>
    </row>
    <row r="520">
      <c r="B520" s="11"/>
      <c r="C520" s="11"/>
      <c r="D520" s="11"/>
      <c r="F520" s="11"/>
    </row>
    <row r="521">
      <c r="B521" s="11"/>
      <c r="C521" s="11"/>
      <c r="D521" s="11"/>
      <c r="F521" s="11"/>
    </row>
    <row r="522">
      <c r="B522" s="11"/>
      <c r="C522" s="11"/>
      <c r="D522" s="11"/>
      <c r="F522" s="11"/>
    </row>
    <row r="523">
      <c r="B523" s="11"/>
      <c r="C523" s="11"/>
      <c r="D523" s="11"/>
      <c r="F523" s="11"/>
    </row>
    <row r="524">
      <c r="B524" s="11"/>
      <c r="C524" s="11"/>
      <c r="D524" s="11"/>
      <c r="F524" s="11"/>
    </row>
    <row r="525">
      <c r="B525" s="11"/>
      <c r="C525" s="11"/>
      <c r="D525" s="11"/>
      <c r="F525" s="11"/>
    </row>
    <row r="526">
      <c r="B526" s="11"/>
      <c r="C526" s="11"/>
      <c r="D526" s="11"/>
      <c r="F526" s="11"/>
    </row>
    <row r="527">
      <c r="B527" s="11"/>
      <c r="C527" s="11"/>
      <c r="D527" s="11"/>
      <c r="F527" s="11"/>
    </row>
    <row r="528">
      <c r="B528" s="11"/>
      <c r="C528" s="11"/>
      <c r="D528" s="11"/>
      <c r="F528" s="11"/>
    </row>
    <row r="529">
      <c r="B529" s="11"/>
      <c r="C529" s="11"/>
      <c r="D529" s="11"/>
      <c r="F529" s="11"/>
    </row>
    <row r="530">
      <c r="B530" s="11"/>
      <c r="C530" s="11"/>
      <c r="D530" s="11"/>
      <c r="F530" s="11"/>
    </row>
    <row r="531">
      <c r="B531" s="11"/>
      <c r="C531" s="11"/>
      <c r="D531" s="11"/>
      <c r="F531" s="11"/>
    </row>
    <row r="532">
      <c r="B532" s="11"/>
      <c r="C532" s="11"/>
      <c r="D532" s="11"/>
      <c r="F532" s="11"/>
    </row>
    <row r="533">
      <c r="B533" s="11"/>
      <c r="C533" s="11"/>
      <c r="D533" s="11"/>
      <c r="F533" s="11"/>
    </row>
    <row r="534">
      <c r="B534" s="11"/>
      <c r="C534" s="11"/>
      <c r="D534" s="11"/>
      <c r="F534" s="11"/>
    </row>
    <row r="535">
      <c r="B535" s="11"/>
      <c r="C535" s="11"/>
      <c r="D535" s="11"/>
      <c r="F535" s="11"/>
    </row>
    <row r="536">
      <c r="B536" s="11"/>
      <c r="C536" s="11"/>
      <c r="D536" s="11"/>
      <c r="F536" s="11"/>
    </row>
    <row r="537">
      <c r="B537" s="11"/>
      <c r="C537" s="11"/>
      <c r="D537" s="11"/>
      <c r="F537" s="11"/>
    </row>
    <row r="538">
      <c r="B538" s="11"/>
      <c r="C538" s="11"/>
      <c r="D538" s="11"/>
      <c r="F538" s="11"/>
    </row>
    <row r="539">
      <c r="B539" s="11"/>
      <c r="C539" s="11"/>
      <c r="D539" s="11"/>
      <c r="F539" s="11"/>
    </row>
    <row r="540">
      <c r="B540" s="11"/>
      <c r="C540" s="11"/>
      <c r="D540" s="11"/>
      <c r="F540" s="11"/>
    </row>
    <row r="541">
      <c r="B541" s="11"/>
      <c r="C541" s="11"/>
      <c r="D541" s="11"/>
      <c r="F541" s="11"/>
    </row>
    <row r="542">
      <c r="B542" s="11"/>
      <c r="C542" s="11"/>
      <c r="D542" s="11"/>
      <c r="F542" s="11"/>
    </row>
    <row r="543">
      <c r="B543" s="11"/>
      <c r="C543" s="11"/>
      <c r="D543" s="11"/>
      <c r="F543" s="11"/>
    </row>
    <row r="544">
      <c r="B544" s="11"/>
      <c r="C544" s="11"/>
      <c r="D544" s="11"/>
      <c r="F544" s="11"/>
    </row>
    <row r="545">
      <c r="B545" s="11"/>
      <c r="C545" s="11"/>
      <c r="D545" s="11"/>
      <c r="F545" s="11"/>
    </row>
    <row r="546">
      <c r="B546" s="11"/>
      <c r="C546" s="11"/>
      <c r="D546" s="11"/>
      <c r="F546" s="11"/>
    </row>
    <row r="547">
      <c r="B547" s="11"/>
      <c r="C547" s="11"/>
      <c r="D547" s="11"/>
      <c r="F547" s="11"/>
    </row>
    <row r="548">
      <c r="B548" s="11"/>
      <c r="C548" s="11"/>
      <c r="D548" s="11"/>
      <c r="F548" s="11"/>
    </row>
    <row r="549">
      <c r="B549" s="11"/>
      <c r="C549" s="11"/>
      <c r="D549" s="11"/>
      <c r="F549" s="11"/>
    </row>
    <row r="550">
      <c r="B550" s="11"/>
      <c r="C550" s="11"/>
      <c r="D550" s="11"/>
      <c r="F550" s="11"/>
    </row>
    <row r="551">
      <c r="B551" s="11"/>
      <c r="C551" s="11"/>
      <c r="D551" s="11"/>
      <c r="F551" s="11"/>
    </row>
    <row r="552">
      <c r="B552" s="11"/>
      <c r="C552" s="11"/>
      <c r="D552" s="11"/>
      <c r="F552" s="11"/>
    </row>
    <row r="553">
      <c r="B553" s="11"/>
      <c r="C553" s="11"/>
      <c r="D553" s="11"/>
      <c r="F553" s="11"/>
    </row>
    <row r="554">
      <c r="B554" s="11"/>
      <c r="C554" s="11"/>
      <c r="D554" s="11"/>
      <c r="F554" s="11"/>
    </row>
    <row r="555">
      <c r="B555" s="11"/>
      <c r="C555" s="11"/>
      <c r="D555" s="11"/>
      <c r="F555" s="11"/>
    </row>
    <row r="556">
      <c r="B556" s="11"/>
      <c r="C556" s="11"/>
      <c r="D556" s="11"/>
      <c r="F556" s="11"/>
    </row>
    <row r="557">
      <c r="B557" s="11"/>
      <c r="C557" s="11"/>
      <c r="D557" s="11"/>
      <c r="F557" s="11"/>
    </row>
    <row r="558">
      <c r="B558" s="11"/>
      <c r="C558" s="11"/>
      <c r="D558" s="11"/>
      <c r="F558" s="11"/>
    </row>
    <row r="559">
      <c r="B559" s="11"/>
      <c r="C559" s="11"/>
      <c r="D559" s="11"/>
      <c r="F559" s="11"/>
    </row>
    <row r="560">
      <c r="B560" s="11"/>
      <c r="C560" s="11"/>
      <c r="D560" s="11"/>
      <c r="F560" s="11"/>
    </row>
    <row r="561">
      <c r="B561" s="11"/>
      <c r="C561" s="11"/>
      <c r="D561" s="11"/>
      <c r="F561" s="11"/>
    </row>
    <row r="562">
      <c r="B562" s="11"/>
      <c r="C562" s="11"/>
      <c r="D562" s="11"/>
      <c r="F562" s="11"/>
    </row>
    <row r="563">
      <c r="B563" s="11"/>
      <c r="C563" s="11"/>
      <c r="D563" s="11"/>
      <c r="F563" s="11"/>
    </row>
    <row r="564">
      <c r="B564" s="11"/>
      <c r="C564" s="11"/>
      <c r="D564" s="11"/>
      <c r="F564" s="11"/>
    </row>
    <row r="565">
      <c r="B565" s="11"/>
      <c r="C565" s="11"/>
      <c r="D565" s="11"/>
      <c r="F565" s="11"/>
    </row>
    <row r="566">
      <c r="B566" s="11"/>
      <c r="C566" s="11"/>
      <c r="D566" s="11"/>
      <c r="F566" s="11"/>
    </row>
    <row r="567">
      <c r="B567" s="11"/>
      <c r="C567" s="11"/>
      <c r="D567" s="11"/>
      <c r="F567" s="11"/>
    </row>
    <row r="568">
      <c r="B568" s="11"/>
      <c r="C568" s="11"/>
      <c r="D568" s="11"/>
      <c r="F568" s="11"/>
    </row>
    <row r="569">
      <c r="B569" s="11"/>
      <c r="C569" s="11"/>
      <c r="D569" s="11"/>
      <c r="F569" s="11"/>
    </row>
    <row r="570">
      <c r="B570" s="11"/>
      <c r="C570" s="11"/>
      <c r="D570" s="11"/>
      <c r="F570" s="11"/>
    </row>
    <row r="571">
      <c r="B571" s="11"/>
      <c r="C571" s="11"/>
      <c r="D571" s="11"/>
      <c r="F571" s="11"/>
    </row>
    <row r="572">
      <c r="B572" s="11"/>
      <c r="C572" s="11"/>
      <c r="D572" s="11"/>
      <c r="F572" s="11"/>
    </row>
    <row r="573">
      <c r="B573" s="11"/>
      <c r="C573" s="11"/>
      <c r="D573" s="11"/>
      <c r="F573" s="11"/>
    </row>
    <row r="574">
      <c r="B574" s="11"/>
      <c r="C574" s="11"/>
      <c r="D574" s="11"/>
      <c r="F574" s="11"/>
    </row>
    <row r="575">
      <c r="B575" s="11"/>
      <c r="C575" s="11"/>
      <c r="D575" s="11"/>
      <c r="F575" s="11"/>
    </row>
    <row r="576">
      <c r="B576" s="11"/>
      <c r="C576" s="11"/>
      <c r="D576" s="11"/>
      <c r="F576" s="11"/>
    </row>
    <row r="577">
      <c r="B577" s="11"/>
      <c r="C577" s="11"/>
      <c r="D577" s="11"/>
      <c r="F577" s="11"/>
    </row>
    <row r="578">
      <c r="B578" s="11"/>
      <c r="C578" s="11"/>
      <c r="D578" s="11"/>
      <c r="F578" s="11"/>
    </row>
    <row r="579">
      <c r="B579" s="11"/>
      <c r="C579" s="11"/>
      <c r="D579" s="11"/>
      <c r="F579" s="11"/>
    </row>
    <row r="580">
      <c r="B580" s="11"/>
      <c r="C580" s="11"/>
      <c r="D580" s="11"/>
      <c r="F580" s="11"/>
    </row>
    <row r="581">
      <c r="B581" s="11"/>
      <c r="C581" s="11"/>
      <c r="D581" s="11"/>
      <c r="F581" s="11"/>
    </row>
    <row r="582">
      <c r="B582" s="11"/>
      <c r="C582" s="11"/>
      <c r="D582" s="11"/>
      <c r="F582" s="11"/>
    </row>
    <row r="583">
      <c r="B583" s="11"/>
      <c r="C583" s="11"/>
      <c r="D583" s="11"/>
      <c r="F583" s="11"/>
    </row>
    <row r="584">
      <c r="B584" s="11"/>
      <c r="C584" s="11"/>
      <c r="D584" s="11"/>
      <c r="F584" s="11"/>
    </row>
    <row r="585">
      <c r="B585" s="11"/>
      <c r="C585" s="11"/>
      <c r="D585" s="11"/>
      <c r="F585" s="11"/>
    </row>
    <row r="586">
      <c r="B586" s="11"/>
      <c r="C586" s="11"/>
      <c r="D586" s="11"/>
      <c r="F586" s="11"/>
    </row>
    <row r="587">
      <c r="B587" s="11"/>
      <c r="C587" s="11"/>
      <c r="D587" s="11"/>
      <c r="F587" s="11"/>
    </row>
    <row r="588">
      <c r="B588" s="11"/>
      <c r="C588" s="11"/>
      <c r="D588" s="11"/>
      <c r="F588" s="11"/>
    </row>
    <row r="589">
      <c r="B589" s="11"/>
      <c r="C589" s="11"/>
      <c r="D589" s="11"/>
      <c r="F589" s="11"/>
    </row>
    <row r="590">
      <c r="B590" s="11"/>
      <c r="C590" s="11"/>
      <c r="D590" s="11"/>
      <c r="F590" s="11"/>
    </row>
    <row r="591">
      <c r="B591" s="11"/>
      <c r="C591" s="11"/>
      <c r="D591" s="11"/>
      <c r="F591" s="11"/>
    </row>
    <row r="592">
      <c r="B592" s="11"/>
      <c r="C592" s="11"/>
      <c r="D592" s="11"/>
      <c r="F592" s="11"/>
    </row>
    <row r="593">
      <c r="B593" s="11"/>
      <c r="C593" s="11"/>
      <c r="D593" s="11"/>
      <c r="F593" s="11"/>
    </row>
    <row r="594">
      <c r="B594" s="11"/>
      <c r="C594" s="11"/>
      <c r="D594" s="11"/>
      <c r="F594" s="11"/>
    </row>
    <row r="595">
      <c r="B595" s="11"/>
      <c r="C595" s="11"/>
      <c r="D595" s="11"/>
      <c r="F595" s="11"/>
    </row>
    <row r="596">
      <c r="B596" s="11"/>
      <c r="C596" s="11"/>
      <c r="D596" s="11"/>
      <c r="F596" s="11"/>
    </row>
    <row r="597">
      <c r="B597" s="11"/>
      <c r="C597" s="11"/>
      <c r="D597" s="11"/>
      <c r="F597" s="11"/>
    </row>
    <row r="598">
      <c r="B598" s="11"/>
      <c r="C598" s="11"/>
      <c r="D598" s="11"/>
      <c r="F598" s="11"/>
    </row>
    <row r="599">
      <c r="B599" s="11"/>
      <c r="C599" s="11"/>
      <c r="D599" s="11"/>
      <c r="F599" s="11"/>
    </row>
    <row r="600">
      <c r="B600" s="11"/>
      <c r="C600" s="11"/>
      <c r="D600" s="11"/>
      <c r="F600" s="11"/>
    </row>
    <row r="601">
      <c r="B601" s="11"/>
      <c r="C601" s="11"/>
      <c r="D601" s="11"/>
      <c r="F601" s="11"/>
    </row>
    <row r="602">
      <c r="B602" s="11"/>
      <c r="C602" s="11"/>
      <c r="D602" s="11"/>
      <c r="F602" s="11"/>
    </row>
    <row r="603">
      <c r="B603" s="11"/>
      <c r="C603" s="11"/>
      <c r="D603" s="11"/>
      <c r="F603" s="11"/>
    </row>
    <row r="604">
      <c r="B604" s="11"/>
      <c r="C604" s="11"/>
      <c r="D604" s="11"/>
      <c r="F604" s="11"/>
    </row>
    <row r="605">
      <c r="B605" s="11"/>
      <c r="C605" s="11"/>
      <c r="D605" s="11"/>
      <c r="F605" s="11"/>
    </row>
    <row r="606">
      <c r="B606" s="11"/>
      <c r="C606" s="11"/>
      <c r="D606" s="11"/>
      <c r="F606" s="11"/>
    </row>
    <row r="607">
      <c r="B607" s="11"/>
      <c r="C607" s="11"/>
      <c r="D607" s="11"/>
      <c r="F607" s="11"/>
    </row>
    <row r="608">
      <c r="B608" s="11"/>
      <c r="C608" s="11"/>
      <c r="D608" s="11"/>
      <c r="F608" s="11"/>
    </row>
    <row r="609">
      <c r="B609" s="11"/>
      <c r="C609" s="11"/>
      <c r="D609" s="11"/>
      <c r="F609" s="11"/>
    </row>
    <row r="610">
      <c r="B610" s="11"/>
      <c r="C610" s="11"/>
      <c r="D610" s="11"/>
      <c r="F610" s="11"/>
    </row>
    <row r="611">
      <c r="B611" s="11"/>
      <c r="C611" s="11"/>
      <c r="D611" s="11"/>
      <c r="F611" s="11"/>
    </row>
    <row r="612">
      <c r="B612" s="11"/>
      <c r="C612" s="11"/>
      <c r="D612" s="11"/>
      <c r="F612" s="11"/>
    </row>
    <row r="613">
      <c r="B613" s="11"/>
      <c r="C613" s="11"/>
      <c r="D613" s="11"/>
      <c r="F613" s="11"/>
    </row>
    <row r="614">
      <c r="B614" s="11"/>
      <c r="C614" s="11"/>
      <c r="D614" s="11"/>
      <c r="F614" s="11"/>
    </row>
    <row r="615">
      <c r="B615" s="11"/>
      <c r="C615" s="11"/>
      <c r="D615" s="11"/>
      <c r="F615" s="11"/>
    </row>
    <row r="616">
      <c r="B616" s="11"/>
      <c r="C616" s="11"/>
      <c r="D616" s="11"/>
      <c r="F616" s="11"/>
    </row>
    <row r="617">
      <c r="B617" s="11"/>
      <c r="C617" s="11"/>
      <c r="D617" s="11"/>
      <c r="F617" s="11"/>
    </row>
    <row r="618">
      <c r="B618" s="11"/>
      <c r="C618" s="11"/>
      <c r="D618" s="11"/>
      <c r="F618" s="11"/>
    </row>
    <row r="619">
      <c r="B619" s="11"/>
      <c r="C619" s="11"/>
      <c r="D619" s="11"/>
      <c r="F619" s="11"/>
    </row>
    <row r="620">
      <c r="B620" s="11"/>
      <c r="C620" s="11"/>
      <c r="D620" s="11"/>
      <c r="F620" s="11"/>
    </row>
    <row r="621">
      <c r="B621" s="11"/>
      <c r="C621" s="11"/>
      <c r="D621" s="11"/>
      <c r="F621" s="11"/>
    </row>
    <row r="622">
      <c r="B622" s="11"/>
      <c r="C622" s="11"/>
      <c r="D622" s="11"/>
      <c r="F622" s="11"/>
    </row>
    <row r="623">
      <c r="B623" s="11"/>
      <c r="C623" s="11"/>
      <c r="D623" s="11"/>
      <c r="F623" s="11"/>
    </row>
    <row r="624">
      <c r="B624" s="11"/>
      <c r="C624" s="11"/>
      <c r="D624" s="11"/>
      <c r="F624" s="11"/>
    </row>
    <row r="625">
      <c r="B625" s="11"/>
      <c r="C625" s="11"/>
      <c r="D625" s="11"/>
      <c r="F625" s="11"/>
    </row>
    <row r="626">
      <c r="B626" s="11"/>
      <c r="C626" s="11"/>
      <c r="D626" s="11"/>
      <c r="F626" s="11"/>
    </row>
    <row r="627">
      <c r="B627" s="11"/>
      <c r="C627" s="11"/>
      <c r="D627" s="11"/>
      <c r="F627" s="11"/>
    </row>
    <row r="628">
      <c r="B628" s="11"/>
      <c r="C628" s="11"/>
      <c r="D628" s="11"/>
      <c r="F628" s="11"/>
    </row>
    <row r="629">
      <c r="B629" s="11"/>
      <c r="C629" s="11"/>
      <c r="D629" s="11"/>
      <c r="F629" s="11"/>
    </row>
    <row r="630">
      <c r="B630" s="11"/>
      <c r="C630" s="11"/>
      <c r="D630" s="11"/>
      <c r="F630" s="11"/>
    </row>
    <row r="631">
      <c r="B631" s="11"/>
      <c r="C631" s="11"/>
      <c r="D631" s="11"/>
      <c r="F631" s="11"/>
    </row>
    <row r="632">
      <c r="B632" s="11"/>
      <c r="C632" s="11"/>
      <c r="D632" s="11"/>
      <c r="F632" s="11"/>
    </row>
    <row r="633">
      <c r="B633" s="11"/>
      <c r="C633" s="11"/>
      <c r="D633" s="11"/>
      <c r="F633" s="11"/>
    </row>
    <row r="634">
      <c r="B634" s="11"/>
      <c r="C634" s="11"/>
      <c r="D634" s="11"/>
      <c r="F634" s="11"/>
    </row>
    <row r="635">
      <c r="B635" s="11"/>
      <c r="C635" s="11"/>
      <c r="D635" s="11"/>
      <c r="F635" s="11"/>
    </row>
    <row r="636">
      <c r="B636" s="11"/>
      <c r="C636" s="11"/>
      <c r="D636" s="11"/>
      <c r="F636" s="11"/>
    </row>
    <row r="637">
      <c r="B637" s="11"/>
      <c r="C637" s="11"/>
      <c r="D637" s="11"/>
      <c r="F637" s="11"/>
    </row>
    <row r="638">
      <c r="B638" s="11"/>
      <c r="C638" s="11"/>
      <c r="D638" s="11"/>
      <c r="F638" s="11"/>
    </row>
    <row r="639">
      <c r="B639" s="11"/>
      <c r="C639" s="11"/>
      <c r="D639" s="11"/>
      <c r="F639" s="11"/>
    </row>
    <row r="640">
      <c r="B640" s="11"/>
      <c r="C640" s="11"/>
      <c r="D640" s="11"/>
      <c r="F640" s="11"/>
    </row>
    <row r="641">
      <c r="B641" s="11"/>
      <c r="C641" s="11"/>
      <c r="D641" s="11"/>
      <c r="F641" s="11"/>
    </row>
    <row r="642">
      <c r="B642" s="11"/>
      <c r="C642" s="11"/>
      <c r="D642" s="11"/>
      <c r="F642" s="11"/>
    </row>
    <row r="643">
      <c r="B643" s="11"/>
      <c r="C643" s="11"/>
      <c r="D643" s="11"/>
      <c r="F643" s="11"/>
    </row>
    <row r="644">
      <c r="B644" s="11"/>
      <c r="C644" s="11"/>
      <c r="D644" s="11"/>
      <c r="F644" s="11"/>
    </row>
    <row r="645">
      <c r="B645" s="11"/>
      <c r="C645" s="11"/>
      <c r="D645" s="11"/>
      <c r="F645" s="11"/>
    </row>
    <row r="646">
      <c r="B646" s="11"/>
      <c r="C646" s="11"/>
      <c r="D646" s="11"/>
      <c r="F646" s="11"/>
    </row>
    <row r="647">
      <c r="B647" s="11"/>
      <c r="C647" s="11"/>
      <c r="D647" s="11"/>
      <c r="F647" s="11"/>
    </row>
    <row r="648">
      <c r="B648" s="11"/>
      <c r="C648" s="11"/>
      <c r="D648" s="11"/>
      <c r="F648" s="11"/>
    </row>
    <row r="649">
      <c r="B649" s="11"/>
      <c r="C649" s="11"/>
      <c r="D649" s="11"/>
      <c r="F649" s="11"/>
    </row>
    <row r="650">
      <c r="B650" s="11"/>
      <c r="C650" s="11"/>
      <c r="D650" s="11"/>
      <c r="F650" s="11"/>
    </row>
    <row r="651">
      <c r="B651" s="11"/>
      <c r="C651" s="11"/>
      <c r="D651" s="11"/>
      <c r="F651" s="11"/>
    </row>
    <row r="652">
      <c r="B652" s="11"/>
      <c r="C652" s="11"/>
      <c r="D652" s="11"/>
      <c r="F652" s="11"/>
    </row>
    <row r="653">
      <c r="B653" s="11"/>
      <c r="C653" s="11"/>
      <c r="D653" s="11"/>
      <c r="F653" s="11"/>
    </row>
    <row r="654">
      <c r="B654" s="11"/>
      <c r="C654" s="11"/>
      <c r="D654" s="11"/>
      <c r="F654" s="11"/>
    </row>
    <row r="655">
      <c r="B655" s="11"/>
      <c r="C655" s="11"/>
      <c r="D655" s="11"/>
      <c r="F655" s="11"/>
    </row>
    <row r="656">
      <c r="B656" s="11"/>
      <c r="C656" s="11"/>
      <c r="D656" s="11"/>
      <c r="F656" s="11"/>
    </row>
    <row r="657">
      <c r="B657" s="11"/>
      <c r="C657" s="11"/>
      <c r="D657" s="11"/>
      <c r="F657" s="11"/>
    </row>
    <row r="658">
      <c r="B658" s="11"/>
      <c r="C658" s="11"/>
      <c r="D658" s="11"/>
      <c r="F658" s="11"/>
    </row>
    <row r="659">
      <c r="B659" s="11"/>
      <c r="C659" s="11"/>
      <c r="D659" s="11"/>
      <c r="F659" s="11"/>
    </row>
    <row r="660">
      <c r="B660" s="11"/>
      <c r="C660" s="11"/>
      <c r="D660" s="11"/>
      <c r="F660" s="11"/>
    </row>
    <row r="661">
      <c r="B661" s="11"/>
      <c r="C661" s="11"/>
      <c r="D661" s="11"/>
      <c r="F661" s="11"/>
    </row>
    <row r="662">
      <c r="B662" s="11"/>
      <c r="C662" s="11"/>
      <c r="D662" s="11"/>
      <c r="F662" s="11"/>
    </row>
    <row r="663">
      <c r="B663" s="11"/>
      <c r="C663" s="11"/>
      <c r="D663" s="11"/>
      <c r="F663" s="11"/>
    </row>
    <row r="664">
      <c r="B664" s="11"/>
      <c r="C664" s="11"/>
      <c r="D664" s="11"/>
      <c r="F664" s="11"/>
    </row>
    <row r="665">
      <c r="B665" s="11"/>
      <c r="C665" s="11"/>
      <c r="D665" s="11"/>
      <c r="F665" s="11"/>
    </row>
    <row r="666">
      <c r="B666" s="11"/>
      <c r="C666" s="11"/>
      <c r="D666" s="11"/>
      <c r="F666" s="11"/>
    </row>
    <row r="667">
      <c r="B667" s="11"/>
      <c r="C667" s="11"/>
      <c r="D667" s="11"/>
      <c r="F667" s="11"/>
    </row>
    <row r="668">
      <c r="B668" s="11"/>
      <c r="C668" s="11"/>
      <c r="D668" s="11"/>
      <c r="F668" s="11"/>
    </row>
    <row r="669">
      <c r="B669" s="11"/>
      <c r="C669" s="11"/>
      <c r="D669" s="11"/>
      <c r="F669" s="11"/>
    </row>
    <row r="670">
      <c r="B670" s="11"/>
      <c r="C670" s="11"/>
      <c r="D670" s="11"/>
      <c r="F670" s="11"/>
    </row>
    <row r="671">
      <c r="B671" s="11"/>
      <c r="C671" s="11"/>
      <c r="D671" s="11"/>
      <c r="F671" s="11"/>
    </row>
    <row r="672">
      <c r="B672" s="11"/>
      <c r="C672" s="11"/>
      <c r="D672" s="11"/>
      <c r="F672" s="11"/>
    </row>
    <row r="673">
      <c r="B673" s="11"/>
      <c r="C673" s="11"/>
      <c r="D673" s="11"/>
      <c r="F673" s="11"/>
    </row>
    <row r="674">
      <c r="B674" s="11"/>
      <c r="C674" s="11"/>
      <c r="D674" s="11"/>
      <c r="F674" s="11"/>
    </row>
    <row r="675">
      <c r="B675" s="11"/>
      <c r="C675" s="11"/>
      <c r="D675" s="11"/>
      <c r="F675" s="11"/>
    </row>
    <row r="676">
      <c r="B676" s="11"/>
      <c r="C676" s="11"/>
      <c r="D676" s="11"/>
      <c r="F676" s="11"/>
    </row>
    <row r="677">
      <c r="B677" s="11"/>
      <c r="C677" s="11"/>
      <c r="D677" s="11"/>
      <c r="F677" s="11"/>
    </row>
    <row r="678">
      <c r="B678" s="11"/>
      <c r="C678" s="11"/>
      <c r="D678" s="11"/>
      <c r="F678" s="11"/>
    </row>
    <row r="679">
      <c r="B679" s="11"/>
      <c r="C679" s="11"/>
      <c r="D679" s="11"/>
      <c r="F679" s="11"/>
    </row>
    <row r="680">
      <c r="B680" s="11"/>
      <c r="C680" s="11"/>
      <c r="D680" s="11"/>
      <c r="F680" s="11"/>
    </row>
    <row r="681">
      <c r="B681" s="11"/>
      <c r="C681" s="11"/>
      <c r="D681" s="11"/>
      <c r="F681" s="11"/>
    </row>
    <row r="682">
      <c r="B682" s="11"/>
      <c r="C682" s="11"/>
      <c r="D682" s="11"/>
      <c r="F682" s="11"/>
    </row>
    <row r="683">
      <c r="B683" s="11"/>
      <c r="C683" s="11"/>
      <c r="D683" s="11"/>
      <c r="F683" s="11"/>
    </row>
    <row r="684">
      <c r="B684" s="11"/>
      <c r="C684" s="11"/>
      <c r="D684" s="11"/>
      <c r="F684" s="11"/>
    </row>
    <row r="685">
      <c r="B685" s="11"/>
      <c r="C685" s="11"/>
      <c r="D685" s="11"/>
      <c r="F685" s="11"/>
    </row>
    <row r="686">
      <c r="B686" s="11"/>
      <c r="C686" s="11"/>
      <c r="D686" s="11"/>
      <c r="F686" s="11"/>
    </row>
    <row r="687">
      <c r="B687" s="11"/>
      <c r="C687" s="11"/>
      <c r="D687" s="11"/>
      <c r="F687" s="11"/>
    </row>
    <row r="688">
      <c r="B688" s="11"/>
      <c r="C688" s="11"/>
      <c r="D688" s="11"/>
      <c r="F688" s="11"/>
    </row>
    <row r="689">
      <c r="B689" s="11"/>
      <c r="C689" s="11"/>
      <c r="D689" s="11"/>
      <c r="F689" s="11"/>
    </row>
    <row r="690">
      <c r="B690" s="11"/>
      <c r="C690" s="11"/>
      <c r="D690" s="11"/>
      <c r="F690" s="11"/>
    </row>
    <row r="691">
      <c r="B691" s="11"/>
      <c r="C691" s="11"/>
      <c r="D691" s="11"/>
      <c r="F691" s="11"/>
    </row>
    <row r="692">
      <c r="B692" s="11"/>
      <c r="C692" s="11"/>
      <c r="D692" s="11"/>
      <c r="F692" s="11"/>
    </row>
    <row r="693">
      <c r="B693" s="11"/>
      <c r="C693" s="11"/>
      <c r="D693" s="11"/>
      <c r="F693" s="11"/>
    </row>
    <row r="694">
      <c r="B694" s="11"/>
      <c r="C694" s="11"/>
      <c r="D694" s="11"/>
      <c r="F694" s="11"/>
    </row>
    <row r="695">
      <c r="B695" s="11"/>
      <c r="C695" s="11"/>
      <c r="D695" s="11"/>
      <c r="F695" s="11"/>
    </row>
    <row r="696">
      <c r="B696" s="11"/>
      <c r="C696" s="11"/>
      <c r="D696" s="11"/>
      <c r="F696" s="11"/>
    </row>
    <row r="697">
      <c r="B697" s="11"/>
      <c r="C697" s="11"/>
      <c r="D697" s="11"/>
      <c r="F697" s="11"/>
    </row>
    <row r="698">
      <c r="B698" s="11"/>
      <c r="C698" s="11"/>
      <c r="D698" s="11"/>
      <c r="F698" s="11"/>
    </row>
    <row r="699">
      <c r="B699" s="11"/>
      <c r="C699" s="11"/>
      <c r="D699" s="11"/>
      <c r="F699" s="11"/>
    </row>
    <row r="700">
      <c r="B700" s="11"/>
      <c r="C700" s="11"/>
      <c r="D700" s="11"/>
      <c r="F700" s="11"/>
    </row>
    <row r="701">
      <c r="B701" s="11"/>
      <c r="C701" s="11"/>
      <c r="D701" s="11"/>
      <c r="F701" s="11"/>
    </row>
    <row r="702">
      <c r="B702" s="11"/>
      <c r="C702" s="11"/>
      <c r="D702" s="11"/>
      <c r="F702" s="11"/>
    </row>
    <row r="703">
      <c r="B703" s="11"/>
      <c r="C703" s="11"/>
      <c r="D703" s="11"/>
      <c r="F703" s="11"/>
    </row>
    <row r="704">
      <c r="B704" s="11"/>
      <c r="C704" s="11"/>
      <c r="D704" s="11"/>
      <c r="F704" s="11"/>
    </row>
    <row r="705">
      <c r="B705" s="11"/>
      <c r="C705" s="11"/>
      <c r="D705" s="11"/>
      <c r="F705" s="11"/>
    </row>
    <row r="706">
      <c r="B706" s="11"/>
      <c r="C706" s="11"/>
      <c r="D706" s="11"/>
      <c r="F706" s="11"/>
    </row>
    <row r="707">
      <c r="B707" s="11"/>
      <c r="C707" s="11"/>
      <c r="D707" s="11"/>
      <c r="F707" s="11"/>
    </row>
    <row r="708">
      <c r="B708" s="11"/>
      <c r="C708" s="11"/>
      <c r="D708" s="11"/>
      <c r="F708" s="11"/>
    </row>
    <row r="709">
      <c r="B709" s="11"/>
      <c r="C709" s="11"/>
      <c r="D709" s="11"/>
      <c r="F709" s="11"/>
    </row>
    <row r="710">
      <c r="B710" s="11"/>
      <c r="C710" s="11"/>
      <c r="D710" s="11"/>
      <c r="F710" s="11"/>
    </row>
    <row r="711">
      <c r="B711" s="11"/>
      <c r="C711" s="11"/>
      <c r="D711" s="11"/>
      <c r="F711" s="11"/>
    </row>
    <row r="712">
      <c r="B712" s="11"/>
      <c r="C712" s="11"/>
      <c r="D712" s="11"/>
      <c r="F712" s="11"/>
    </row>
    <row r="713">
      <c r="B713" s="11"/>
      <c r="C713" s="11"/>
      <c r="D713" s="11"/>
      <c r="F713" s="11"/>
    </row>
    <row r="714">
      <c r="B714" s="11"/>
      <c r="C714" s="11"/>
      <c r="D714" s="11"/>
      <c r="F714" s="11"/>
    </row>
    <row r="715">
      <c r="B715" s="11"/>
      <c r="C715" s="11"/>
      <c r="D715" s="11"/>
      <c r="F715" s="11"/>
    </row>
    <row r="716">
      <c r="B716" s="11"/>
      <c r="C716" s="11"/>
      <c r="D716" s="11"/>
      <c r="F716" s="11"/>
    </row>
    <row r="717">
      <c r="B717" s="11"/>
      <c r="C717" s="11"/>
      <c r="D717" s="11"/>
      <c r="F717" s="11"/>
    </row>
    <row r="718">
      <c r="B718" s="11"/>
      <c r="C718" s="11"/>
      <c r="D718" s="11"/>
      <c r="F718" s="11"/>
    </row>
    <row r="719">
      <c r="B719" s="11"/>
      <c r="C719" s="11"/>
      <c r="D719" s="11"/>
      <c r="F719" s="11"/>
    </row>
    <row r="720">
      <c r="B720" s="11"/>
      <c r="C720" s="11"/>
      <c r="D720" s="11"/>
      <c r="F720" s="11"/>
    </row>
    <row r="721">
      <c r="B721" s="11"/>
      <c r="C721" s="11"/>
      <c r="D721" s="11"/>
      <c r="F721" s="11"/>
    </row>
    <row r="722">
      <c r="B722" s="11"/>
      <c r="C722" s="11"/>
      <c r="D722" s="11"/>
      <c r="F722" s="11"/>
    </row>
    <row r="723">
      <c r="B723" s="11"/>
      <c r="C723" s="11"/>
      <c r="D723" s="11"/>
      <c r="F723" s="11"/>
    </row>
    <row r="724">
      <c r="B724" s="11"/>
      <c r="C724" s="11"/>
      <c r="D724" s="11"/>
      <c r="F724" s="11"/>
    </row>
    <row r="725">
      <c r="B725" s="11"/>
      <c r="C725" s="11"/>
      <c r="D725" s="11"/>
      <c r="F725" s="11"/>
    </row>
    <row r="726">
      <c r="B726" s="11"/>
      <c r="C726" s="11"/>
      <c r="D726" s="11"/>
      <c r="F726" s="11"/>
    </row>
    <row r="727">
      <c r="B727" s="11"/>
      <c r="C727" s="11"/>
      <c r="D727" s="11"/>
      <c r="F727" s="11"/>
    </row>
    <row r="728">
      <c r="B728" s="11"/>
      <c r="C728" s="11"/>
      <c r="D728" s="11"/>
      <c r="F728" s="11"/>
    </row>
    <row r="729">
      <c r="B729" s="11"/>
      <c r="C729" s="11"/>
      <c r="D729" s="11"/>
      <c r="F729" s="11"/>
    </row>
    <row r="730">
      <c r="B730" s="11"/>
      <c r="C730" s="11"/>
      <c r="D730" s="11"/>
      <c r="F730" s="11"/>
    </row>
    <row r="731">
      <c r="B731" s="11"/>
      <c r="C731" s="11"/>
      <c r="D731" s="11"/>
      <c r="F731" s="11"/>
    </row>
    <row r="732">
      <c r="B732" s="11"/>
      <c r="C732" s="11"/>
      <c r="D732" s="11"/>
      <c r="F732" s="11"/>
    </row>
    <row r="733">
      <c r="B733" s="11"/>
      <c r="C733" s="11"/>
      <c r="D733" s="11"/>
      <c r="F733" s="11"/>
    </row>
    <row r="734">
      <c r="B734" s="11"/>
      <c r="C734" s="11"/>
      <c r="D734" s="11"/>
      <c r="F734" s="11"/>
    </row>
    <row r="735">
      <c r="B735" s="11"/>
      <c r="C735" s="11"/>
      <c r="D735" s="11"/>
      <c r="F735" s="11"/>
    </row>
    <row r="736">
      <c r="B736" s="11"/>
      <c r="C736" s="11"/>
      <c r="D736" s="11"/>
      <c r="F736" s="11"/>
    </row>
    <row r="737">
      <c r="B737" s="11"/>
      <c r="C737" s="11"/>
      <c r="D737" s="11"/>
      <c r="F737" s="11"/>
    </row>
    <row r="738">
      <c r="B738" s="11"/>
      <c r="C738" s="11"/>
      <c r="D738" s="11"/>
      <c r="F738" s="11"/>
    </row>
    <row r="739">
      <c r="B739" s="11"/>
      <c r="C739" s="11"/>
      <c r="D739" s="11"/>
      <c r="F739" s="11"/>
    </row>
    <row r="740">
      <c r="B740" s="11"/>
      <c r="C740" s="11"/>
      <c r="D740" s="11"/>
      <c r="F740" s="11"/>
    </row>
    <row r="741">
      <c r="B741" s="11"/>
      <c r="C741" s="11"/>
      <c r="D741" s="11"/>
      <c r="F741" s="11"/>
    </row>
    <row r="742">
      <c r="B742" s="11"/>
      <c r="C742" s="11"/>
      <c r="D742" s="11"/>
      <c r="F742" s="11"/>
    </row>
    <row r="743">
      <c r="B743" s="11"/>
      <c r="C743" s="11"/>
      <c r="D743" s="11"/>
      <c r="F743" s="11"/>
    </row>
    <row r="744">
      <c r="B744" s="11"/>
      <c r="C744" s="11"/>
      <c r="D744" s="11"/>
      <c r="F744" s="11"/>
    </row>
    <row r="745">
      <c r="B745" s="11"/>
      <c r="C745" s="11"/>
      <c r="D745" s="11"/>
      <c r="F745" s="11"/>
    </row>
    <row r="746">
      <c r="B746" s="11"/>
      <c r="C746" s="11"/>
      <c r="D746" s="11"/>
      <c r="F746" s="11"/>
    </row>
    <row r="747">
      <c r="B747" s="11"/>
      <c r="C747" s="11"/>
      <c r="D747" s="11"/>
      <c r="F747" s="11"/>
    </row>
    <row r="748">
      <c r="B748" s="11"/>
      <c r="C748" s="11"/>
      <c r="D748" s="11"/>
      <c r="F748" s="11"/>
    </row>
    <row r="749">
      <c r="B749" s="11"/>
      <c r="C749" s="11"/>
      <c r="D749" s="11"/>
      <c r="F749" s="11"/>
    </row>
    <row r="750">
      <c r="B750" s="11"/>
      <c r="C750" s="11"/>
      <c r="D750" s="11"/>
      <c r="F750" s="11"/>
    </row>
    <row r="751">
      <c r="B751" s="11"/>
      <c r="C751" s="11"/>
      <c r="D751" s="11"/>
      <c r="F751" s="11"/>
    </row>
    <row r="752">
      <c r="B752" s="11"/>
      <c r="C752" s="11"/>
      <c r="D752" s="11"/>
      <c r="F752" s="11"/>
    </row>
    <row r="753">
      <c r="B753" s="11"/>
      <c r="C753" s="11"/>
      <c r="D753" s="11"/>
      <c r="F753" s="11"/>
    </row>
    <row r="754">
      <c r="B754" s="11"/>
      <c r="C754" s="11"/>
      <c r="D754" s="11"/>
      <c r="F754" s="11"/>
    </row>
    <row r="755">
      <c r="B755" s="11"/>
      <c r="C755" s="11"/>
      <c r="D755" s="11"/>
      <c r="F755" s="11"/>
    </row>
    <row r="756">
      <c r="B756" s="11"/>
      <c r="C756" s="11"/>
      <c r="D756" s="11"/>
      <c r="F756" s="11"/>
    </row>
    <row r="757">
      <c r="B757" s="11"/>
      <c r="C757" s="11"/>
      <c r="D757" s="11"/>
      <c r="F757" s="11"/>
    </row>
    <row r="758">
      <c r="B758" s="11"/>
      <c r="C758" s="11"/>
      <c r="D758" s="11"/>
      <c r="F758" s="11"/>
    </row>
    <row r="759">
      <c r="B759" s="11"/>
      <c r="C759" s="11"/>
      <c r="D759" s="11"/>
      <c r="F759" s="11"/>
    </row>
    <row r="760">
      <c r="B760" s="11"/>
      <c r="C760" s="11"/>
      <c r="D760" s="11"/>
      <c r="F760" s="11"/>
    </row>
    <row r="761">
      <c r="B761" s="11"/>
      <c r="C761" s="11"/>
      <c r="D761" s="11"/>
      <c r="F761" s="11"/>
    </row>
    <row r="762">
      <c r="B762" s="11"/>
      <c r="C762" s="11"/>
      <c r="D762" s="11"/>
      <c r="F762" s="11"/>
    </row>
    <row r="763">
      <c r="B763" s="11"/>
      <c r="C763" s="11"/>
      <c r="D763" s="11"/>
      <c r="F763" s="11"/>
    </row>
    <row r="764">
      <c r="B764" s="11"/>
      <c r="C764" s="11"/>
      <c r="D764" s="11"/>
      <c r="F764" s="11"/>
    </row>
    <row r="765">
      <c r="B765" s="11"/>
      <c r="C765" s="11"/>
      <c r="D765" s="11"/>
      <c r="F765" s="11"/>
    </row>
    <row r="766">
      <c r="B766" s="11"/>
      <c r="C766" s="11"/>
      <c r="D766" s="11"/>
      <c r="F766" s="11"/>
    </row>
    <row r="767">
      <c r="B767" s="11"/>
      <c r="C767" s="11"/>
      <c r="D767" s="11"/>
      <c r="F767" s="11"/>
    </row>
    <row r="768">
      <c r="B768" s="11"/>
      <c r="C768" s="11"/>
      <c r="D768" s="11"/>
      <c r="F768" s="11"/>
    </row>
    <row r="769">
      <c r="B769" s="11"/>
      <c r="C769" s="11"/>
      <c r="D769" s="11"/>
      <c r="F769" s="11"/>
    </row>
    <row r="770">
      <c r="B770" s="11"/>
      <c r="C770" s="11"/>
      <c r="D770" s="11"/>
      <c r="F770" s="11"/>
    </row>
    <row r="771">
      <c r="B771" s="11"/>
      <c r="C771" s="11"/>
      <c r="D771" s="11"/>
      <c r="F771" s="11"/>
    </row>
    <row r="772">
      <c r="B772" s="11"/>
      <c r="C772" s="11"/>
      <c r="D772" s="11"/>
      <c r="F772" s="11"/>
    </row>
    <row r="773">
      <c r="B773" s="11"/>
      <c r="C773" s="11"/>
      <c r="D773" s="11"/>
      <c r="F773" s="11"/>
    </row>
    <row r="774">
      <c r="B774" s="11"/>
      <c r="C774" s="11"/>
      <c r="D774" s="11"/>
      <c r="F774" s="11"/>
    </row>
    <row r="775">
      <c r="B775" s="11"/>
      <c r="C775" s="11"/>
      <c r="D775" s="11"/>
      <c r="F775" s="11"/>
    </row>
    <row r="776">
      <c r="B776" s="11"/>
      <c r="C776" s="11"/>
      <c r="D776" s="11"/>
      <c r="F776" s="11"/>
    </row>
    <row r="777">
      <c r="B777" s="11"/>
      <c r="C777" s="11"/>
      <c r="D777" s="11"/>
      <c r="F777" s="11"/>
    </row>
    <row r="778">
      <c r="B778" s="11"/>
      <c r="C778" s="11"/>
      <c r="D778" s="11"/>
      <c r="F778" s="11"/>
    </row>
    <row r="779">
      <c r="B779" s="11"/>
      <c r="C779" s="11"/>
      <c r="D779" s="11"/>
      <c r="F779" s="11"/>
    </row>
    <row r="780">
      <c r="B780" s="11"/>
      <c r="C780" s="11"/>
      <c r="D780" s="11"/>
      <c r="F780" s="11"/>
    </row>
    <row r="781">
      <c r="B781" s="11"/>
      <c r="C781" s="11"/>
      <c r="D781" s="11"/>
      <c r="F781" s="11"/>
    </row>
    <row r="782">
      <c r="B782" s="11"/>
      <c r="C782" s="11"/>
      <c r="D782" s="11"/>
      <c r="F782" s="11"/>
    </row>
    <row r="783">
      <c r="B783" s="11"/>
      <c r="C783" s="11"/>
      <c r="D783" s="11"/>
      <c r="F783" s="11"/>
    </row>
    <row r="784">
      <c r="B784" s="11"/>
      <c r="C784" s="11"/>
      <c r="D784" s="11"/>
      <c r="F784" s="11"/>
    </row>
    <row r="785">
      <c r="B785" s="11"/>
      <c r="C785" s="11"/>
      <c r="D785" s="11"/>
      <c r="F785" s="11"/>
    </row>
    <row r="786">
      <c r="B786" s="11"/>
      <c r="C786" s="11"/>
      <c r="D786" s="11"/>
      <c r="F786" s="11"/>
    </row>
    <row r="787">
      <c r="B787" s="11"/>
      <c r="C787" s="11"/>
      <c r="D787" s="11"/>
      <c r="F787" s="11"/>
    </row>
    <row r="788">
      <c r="B788" s="11"/>
      <c r="C788" s="11"/>
      <c r="D788" s="11"/>
      <c r="F788" s="11"/>
    </row>
    <row r="789">
      <c r="B789" s="11"/>
      <c r="C789" s="11"/>
      <c r="D789" s="11"/>
      <c r="F789" s="11"/>
    </row>
    <row r="790">
      <c r="B790" s="11"/>
      <c r="C790" s="11"/>
      <c r="D790" s="11"/>
      <c r="F790" s="11"/>
    </row>
    <row r="791">
      <c r="B791" s="11"/>
      <c r="C791" s="11"/>
      <c r="D791" s="11"/>
      <c r="F791" s="11"/>
    </row>
    <row r="792">
      <c r="B792" s="11"/>
      <c r="C792" s="11"/>
      <c r="D792" s="11"/>
      <c r="F792" s="11"/>
    </row>
    <row r="793">
      <c r="B793" s="11"/>
      <c r="C793" s="11"/>
      <c r="D793" s="11"/>
      <c r="F793" s="11"/>
    </row>
    <row r="794">
      <c r="B794" s="11"/>
      <c r="C794" s="11"/>
      <c r="D794" s="11"/>
      <c r="F794" s="11"/>
    </row>
    <row r="795">
      <c r="B795" s="11"/>
      <c r="C795" s="11"/>
      <c r="D795" s="11"/>
      <c r="F795" s="11"/>
    </row>
    <row r="796">
      <c r="B796" s="11"/>
      <c r="C796" s="11"/>
      <c r="D796" s="11"/>
      <c r="F796" s="11"/>
    </row>
    <row r="797">
      <c r="B797" s="11"/>
      <c r="C797" s="11"/>
      <c r="D797" s="11"/>
      <c r="F797" s="11"/>
    </row>
    <row r="798">
      <c r="B798" s="11"/>
      <c r="C798" s="11"/>
      <c r="D798" s="11"/>
      <c r="F798" s="11"/>
    </row>
    <row r="799">
      <c r="B799" s="11"/>
      <c r="C799" s="11"/>
      <c r="D799" s="11"/>
      <c r="F799" s="11"/>
    </row>
    <row r="800">
      <c r="B800" s="11"/>
      <c r="C800" s="11"/>
      <c r="D800" s="11"/>
      <c r="F800" s="11"/>
    </row>
    <row r="801">
      <c r="B801" s="11"/>
      <c r="C801" s="11"/>
      <c r="D801" s="11"/>
      <c r="F801" s="11"/>
    </row>
    <row r="802">
      <c r="B802" s="11"/>
      <c r="C802" s="11"/>
      <c r="D802" s="11"/>
      <c r="F802" s="11"/>
    </row>
    <row r="803">
      <c r="B803" s="11"/>
      <c r="C803" s="11"/>
      <c r="D803" s="11"/>
      <c r="F803" s="11"/>
    </row>
    <row r="804">
      <c r="B804" s="11"/>
      <c r="C804" s="11"/>
      <c r="D804" s="11"/>
      <c r="F804" s="11"/>
    </row>
    <row r="805">
      <c r="B805" s="11"/>
      <c r="C805" s="11"/>
      <c r="D805" s="11"/>
      <c r="F805" s="11"/>
    </row>
    <row r="806">
      <c r="B806" s="11"/>
      <c r="C806" s="11"/>
      <c r="D806" s="11"/>
      <c r="F806" s="11"/>
    </row>
    <row r="807">
      <c r="B807" s="11"/>
      <c r="C807" s="11"/>
      <c r="D807" s="11"/>
      <c r="F807" s="11"/>
    </row>
    <row r="808">
      <c r="B808" s="11"/>
      <c r="C808" s="11"/>
      <c r="D808" s="11"/>
      <c r="F808" s="11"/>
    </row>
    <row r="809">
      <c r="B809" s="11"/>
      <c r="C809" s="11"/>
      <c r="D809" s="11"/>
      <c r="F809" s="11"/>
    </row>
    <row r="810">
      <c r="B810" s="11"/>
      <c r="C810" s="11"/>
      <c r="D810" s="11"/>
      <c r="F810" s="11"/>
    </row>
    <row r="811">
      <c r="B811" s="11"/>
      <c r="C811" s="11"/>
      <c r="D811" s="11"/>
      <c r="F811" s="11"/>
    </row>
    <row r="812">
      <c r="B812" s="11"/>
      <c r="C812" s="11"/>
      <c r="D812" s="11"/>
      <c r="F812" s="11"/>
    </row>
    <row r="813">
      <c r="B813" s="11"/>
      <c r="C813" s="11"/>
      <c r="D813" s="11"/>
      <c r="F813" s="11"/>
    </row>
    <row r="814">
      <c r="B814" s="11"/>
      <c r="C814" s="11"/>
      <c r="D814" s="11"/>
      <c r="F814" s="11"/>
    </row>
    <row r="815">
      <c r="B815" s="11"/>
      <c r="C815" s="11"/>
      <c r="D815" s="11"/>
      <c r="F815" s="11"/>
    </row>
    <row r="816">
      <c r="B816" s="11"/>
      <c r="C816" s="11"/>
      <c r="D816" s="11"/>
      <c r="F816" s="11"/>
    </row>
    <row r="817">
      <c r="B817" s="11"/>
      <c r="C817" s="11"/>
      <c r="D817" s="11"/>
      <c r="F817" s="11"/>
    </row>
    <row r="818">
      <c r="B818" s="11"/>
      <c r="C818" s="11"/>
      <c r="D818" s="11"/>
      <c r="F818" s="11"/>
    </row>
    <row r="819">
      <c r="B819" s="11"/>
      <c r="C819" s="11"/>
      <c r="D819" s="11"/>
      <c r="F819" s="11"/>
    </row>
    <row r="820">
      <c r="B820" s="11"/>
      <c r="C820" s="11"/>
      <c r="D820" s="11"/>
      <c r="F820" s="11"/>
    </row>
    <row r="821">
      <c r="B821" s="11"/>
      <c r="C821" s="11"/>
      <c r="D821" s="11"/>
      <c r="F821" s="11"/>
    </row>
    <row r="822">
      <c r="B822" s="11"/>
      <c r="C822" s="11"/>
      <c r="D822" s="11"/>
      <c r="F822" s="11"/>
    </row>
    <row r="823">
      <c r="B823" s="11"/>
      <c r="C823" s="11"/>
      <c r="D823" s="11"/>
      <c r="F823" s="11"/>
    </row>
    <row r="824">
      <c r="B824" s="11"/>
      <c r="C824" s="11"/>
      <c r="D824" s="11"/>
      <c r="F824" s="11"/>
    </row>
    <row r="825">
      <c r="B825" s="11"/>
      <c r="C825" s="11"/>
      <c r="D825" s="11"/>
      <c r="F825" s="11"/>
    </row>
    <row r="826">
      <c r="B826" s="11"/>
      <c r="C826" s="11"/>
      <c r="D826" s="11"/>
      <c r="F826" s="11"/>
    </row>
    <row r="827">
      <c r="B827" s="11"/>
      <c r="C827" s="11"/>
      <c r="D827" s="11"/>
      <c r="F827" s="11"/>
    </row>
    <row r="828">
      <c r="B828" s="11"/>
      <c r="C828" s="11"/>
      <c r="D828" s="11"/>
      <c r="F828" s="11"/>
    </row>
    <row r="829">
      <c r="B829" s="11"/>
      <c r="C829" s="11"/>
      <c r="D829" s="11"/>
      <c r="F829" s="11"/>
    </row>
    <row r="830">
      <c r="B830" s="11"/>
      <c r="C830" s="11"/>
      <c r="D830" s="11"/>
      <c r="F830" s="11"/>
    </row>
    <row r="831">
      <c r="B831" s="11"/>
      <c r="C831" s="11"/>
      <c r="D831" s="11"/>
      <c r="F831" s="11"/>
    </row>
    <row r="832">
      <c r="B832" s="11"/>
      <c r="C832" s="11"/>
      <c r="D832" s="11"/>
      <c r="F832" s="11"/>
    </row>
    <row r="833">
      <c r="B833" s="11"/>
      <c r="C833" s="11"/>
      <c r="D833" s="11"/>
      <c r="F833" s="11"/>
    </row>
    <row r="834">
      <c r="B834" s="11"/>
      <c r="C834" s="11"/>
      <c r="D834" s="11"/>
      <c r="F834" s="11"/>
    </row>
    <row r="835">
      <c r="B835" s="11"/>
      <c r="C835" s="11"/>
      <c r="D835" s="11"/>
      <c r="F835" s="11"/>
    </row>
    <row r="836">
      <c r="B836" s="11"/>
      <c r="C836" s="11"/>
      <c r="D836" s="11"/>
      <c r="F836" s="11"/>
    </row>
    <row r="837">
      <c r="B837" s="11"/>
      <c r="C837" s="11"/>
      <c r="D837" s="11"/>
      <c r="F837" s="11"/>
    </row>
    <row r="838">
      <c r="B838" s="11"/>
      <c r="C838" s="11"/>
      <c r="D838" s="11"/>
      <c r="F838" s="11"/>
    </row>
    <row r="839">
      <c r="B839" s="11"/>
      <c r="C839" s="11"/>
      <c r="D839" s="11"/>
      <c r="F839" s="11"/>
    </row>
    <row r="840">
      <c r="B840" s="11"/>
      <c r="C840" s="11"/>
      <c r="D840" s="11"/>
      <c r="F840" s="11"/>
    </row>
    <row r="841">
      <c r="B841" s="11"/>
      <c r="C841" s="11"/>
      <c r="D841" s="11"/>
      <c r="F841" s="11"/>
    </row>
    <row r="842">
      <c r="B842" s="11"/>
      <c r="C842" s="11"/>
      <c r="D842" s="11"/>
      <c r="F842" s="11"/>
    </row>
    <row r="843">
      <c r="B843" s="11"/>
      <c r="C843" s="11"/>
      <c r="D843" s="11"/>
      <c r="F843" s="11"/>
    </row>
    <row r="844">
      <c r="B844" s="11"/>
      <c r="C844" s="11"/>
      <c r="D844" s="11"/>
      <c r="F844" s="11"/>
    </row>
    <row r="845">
      <c r="B845" s="11"/>
      <c r="C845" s="11"/>
      <c r="D845" s="11"/>
      <c r="F845" s="11"/>
    </row>
    <row r="846">
      <c r="B846" s="11"/>
      <c r="C846" s="11"/>
      <c r="D846" s="11"/>
      <c r="F846" s="11"/>
    </row>
    <row r="847">
      <c r="B847" s="11"/>
      <c r="C847" s="11"/>
      <c r="D847" s="11"/>
      <c r="F847" s="11"/>
    </row>
    <row r="848">
      <c r="B848" s="11"/>
      <c r="C848" s="11"/>
      <c r="D848" s="11"/>
      <c r="F848" s="11"/>
    </row>
    <row r="849">
      <c r="B849" s="11"/>
      <c r="C849" s="11"/>
      <c r="D849" s="11"/>
      <c r="F849" s="11"/>
    </row>
    <row r="850">
      <c r="B850" s="11"/>
      <c r="C850" s="11"/>
      <c r="D850" s="11"/>
      <c r="F850" s="11"/>
    </row>
    <row r="851">
      <c r="B851" s="11"/>
      <c r="C851" s="11"/>
      <c r="D851" s="11"/>
      <c r="F851" s="11"/>
    </row>
    <row r="852">
      <c r="B852" s="11"/>
      <c r="C852" s="11"/>
      <c r="D852" s="11"/>
      <c r="F852" s="11"/>
    </row>
    <row r="853">
      <c r="B853" s="11"/>
      <c r="C853" s="11"/>
      <c r="D853" s="11"/>
      <c r="F853" s="11"/>
    </row>
    <row r="854">
      <c r="B854" s="11"/>
      <c r="C854" s="11"/>
      <c r="D854" s="11"/>
      <c r="F854" s="11"/>
    </row>
    <row r="855">
      <c r="B855" s="11"/>
      <c r="C855" s="11"/>
      <c r="D855" s="11"/>
      <c r="F855" s="11"/>
    </row>
    <row r="856">
      <c r="B856" s="11"/>
      <c r="C856" s="11"/>
      <c r="D856" s="11"/>
      <c r="F856" s="11"/>
    </row>
    <row r="857">
      <c r="B857" s="11"/>
      <c r="C857" s="11"/>
      <c r="D857" s="11"/>
      <c r="F857" s="11"/>
    </row>
    <row r="858">
      <c r="B858" s="11"/>
      <c r="C858" s="11"/>
      <c r="D858" s="11"/>
      <c r="F858" s="11"/>
    </row>
    <row r="859">
      <c r="B859" s="11"/>
      <c r="C859" s="11"/>
      <c r="D859" s="11"/>
      <c r="F859" s="11"/>
    </row>
    <row r="860">
      <c r="B860" s="11"/>
      <c r="C860" s="11"/>
      <c r="D860" s="11"/>
      <c r="F860" s="11"/>
    </row>
    <row r="861">
      <c r="B861" s="11"/>
      <c r="C861" s="11"/>
      <c r="D861" s="11"/>
      <c r="F861" s="11"/>
    </row>
    <row r="862">
      <c r="B862" s="11"/>
      <c r="C862" s="11"/>
      <c r="D862" s="11"/>
      <c r="F862" s="11"/>
    </row>
    <row r="863">
      <c r="B863" s="11"/>
      <c r="C863" s="11"/>
      <c r="D863" s="11"/>
      <c r="F863" s="11"/>
    </row>
    <row r="864">
      <c r="B864" s="11"/>
      <c r="C864" s="11"/>
      <c r="D864" s="11"/>
      <c r="F864" s="11"/>
    </row>
    <row r="865">
      <c r="B865" s="11"/>
      <c r="C865" s="11"/>
      <c r="D865" s="11"/>
      <c r="F865" s="11"/>
    </row>
    <row r="866">
      <c r="B866" s="11"/>
      <c r="C866" s="11"/>
      <c r="D866" s="11"/>
      <c r="F866" s="11"/>
    </row>
    <row r="867">
      <c r="B867" s="11"/>
      <c r="C867" s="11"/>
      <c r="D867" s="11"/>
      <c r="F867" s="11"/>
    </row>
    <row r="868">
      <c r="B868" s="11"/>
      <c r="C868" s="11"/>
      <c r="D868" s="11"/>
      <c r="F868" s="11"/>
    </row>
    <row r="869">
      <c r="B869" s="11"/>
      <c r="C869" s="11"/>
      <c r="D869" s="11"/>
      <c r="F869" s="11"/>
    </row>
    <row r="870">
      <c r="B870" s="11"/>
      <c r="C870" s="11"/>
      <c r="D870" s="11"/>
      <c r="F870" s="11"/>
    </row>
    <row r="871">
      <c r="B871" s="11"/>
      <c r="C871" s="11"/>
      <c r="D871" s="11"/>
      <c r="F871" s="11"/>
    </row>
    <row r="872">
      <c r="B872" s="11"/>
      <c r="C872" s="11"/>
      <c r="D872" s="11"/>
      <c r="F872" s="11"/>
    </row>
    <row r="873">
      <c r="B873" s="11"/>
      <c r="C873" s="11"/>
      <c r="D873" s="11"/>
      <c r="F873" s="11"/>
    </row>
    <row r="874">
      <c r="B874" s="11"/>
      <c r="C874" s="11"/>
      <c r="D874" s="11"/>
      <c r="F874" s="11"/>
    </row>
    <row r="875">
      <c r="B875" s="11"/>
      <c r="C875" s="11"/>
      <c r="D875" s="11"/>
      <c r="F875" s="11"/>
    </row>
    <row r="876">
      <c r="B876" s="11"/>
      <c r="C876" s="11"/>
      <c r="D876" s="11"/>
      <c r="F876" s="11"/>
    </row>
    <row r="877">
      <c r="B877" s="11"/>
      <c r="C877" s="11"/>
      <c r="D877" s="11"/>
      <c r="F877" s="11"/>
    </row>
    <row r="878">
      <c r="B878" s="11"/>
      <c r="C878" s="11"/>
      <c r="D878" s="11"/>
      <c r="F878" s="11"/>
    </row>
    <row r="879">
      <c r="B879" s="11"/>
      <c r="C879" s="11"/>
      <c r="D879" s="11"/>
      <c r="F879" s="11"/>
    </row>
    <row r="880">
      <c r="B880" s="11"/>
      <c r="C880" s="11"/>
      <c r="D880" s="11"/>
      <c r="F880" s="11"/>
    </row>
    <row r="881">
      <c r="B881" s="11"/>
      <c r="C881" s="11"/>
      <c r="D881" s="11"/>
      <c r="F881" s="11"/>
    </row>
    <row r="882">
      <c r="B882" s="11"/>
      <c r="C882" s="11"/>
      <c r="D882" s="11"/>
      <c r="F882" s="11"/>
    </row>
    <row r="883">
      <c r="B883" s="11"/>
      <c r="C883" s="11"/>
      <c r="D883" s="11"/>
      <c r="F883" s="11"/>
    </row>
    <row r="884">
      <c r="B884" s="11"/>
      <c r="C884" s="11"/>
      <c r="D884" s="11"/>
      <c r="F884" s="11"/>
    </row>
    <row r="885">
      <c r="B885" s="11"/>
      <c r="C885" s="11"/>
      <c r="D885" s="11"/>
      <c r="F885" s="11"/>
    </row>
    <row r="886">
      <c r="B886" s="11"/>
      <c r="C886" s="11"/>
      <c r="D886" s="11"/>
      <c r="F886" s="11"/>
    </row>
    <row r="887">
      <c r="B887" s="11"/>
      <c r="C887" s="11"/>
      <c r="D887" s="11"/>
      <c r="F887" s="11"/>
    </row>
    <row r="888">
      <c r="B888" s="11"/>
      <c r="C888" s="11"/>
      <c r="D888" s="11"/>
      <c r="F888" s="11"/>
    </row>
    <row r="889">
      <c r="B889" s="11"/>
      <c r="C889" s="11"/>
      <c r="D889" s="11"/>
      <c r="F889" s="11"/>
    </row>
    <row r="890">
      <c r="B890" s="11"/>
      <c r="C890" s="11"/>
      <c r="D890" s="11"/>
      <c r="F890" s="11"/>
    </row>
    <row r="891">
      <c r="B891" s="11"/>
      <c r="C891" s="11"/>
      <c r="D891" s="11"/>
      <c r="F891" s="11"/>
    </row>
    <row r="892">
      <c r="B892" s="11"/>
      <c r="C892" s="11"/>
      <c r="D892" s="11"/>
      <c r="F892" s="11"/>
    </row>
    <row r="893">
      <c r="B893" s="11"/>
      <c r="C893" s="11"/>
      <c r="D893" s="11"/>
      <c r="F893" s="11"/>
    </row>
    <row r="894">
      <c r="B894" s="11"/>
      <c r="C894" s="11"/>
      <c r="D894" s="11"/>
      <c r="F894" s="11"/>
    </row>
    <row r="895">
      <c r="B895" s="11"/>
      <c r="C895" s="11"/>
      <c r="D895" s="11"/>
      <c r="F895" s="11"/>
    </row>
    <row r="896">
      <c r="B896" s="11"/>
      <c r="C896" s="11"/>
      <c r="D896" s="11"/>
      <c r="F896" s="11"/>
    </row>
    <row r="897">
      <c r="B897" s="11"/>
      <c r="C897" s="11"/>
      <c r="D897" s="11"/>
      <c r="F897" s="11"/>
    </row>
    <row r="898">
      <c r="B898" s="11"/>
      <c r="C898" s="11"/>
      <c r="D898" s="11"/>
      <c r="F898" s="11"/>
    </row>
    <row r="899">
      <c r="B899" s="11"/>
      <c r="C899" s="11"/>
      <c r="D899" s="11"/>
      <c r="F899" s="11"/>
    </row>
    <row r="900">
      <c r="B900" s="11"/>
      <c r="C900" s="11"/>
      <c r="D900" s="11"/>
      <c r="F900" s="11"/>
    </row>
    <row r="901">
      <c r="B901" s="11"/>
      <c r="C901" s="11"/>
      <c r="D901" s="11"/>
      <c r="F901" s="11"/>
    </row>
    <row r="902">
      <c r="B902" s="11"/>
      <c r="C902" s="11"/>
      <c r="D902" s="11"/>
      <c r="F902" s="11"/>
    </row>
    <row r="903">
      <c r="B903" s="11"/>
      <c r="C903" s="11"/>
      <c r="D903" s="11"/>
      <c r="F903" s="11"/>
    </row>
    <row r="904">
      <c r="B904" s="11"/>
      <c r="C904" s="11"/>
      <c r="D904" s="11"/>
      <c r="F904" s="11"/>
    </row>
    <row r="905">
      <c r="B905" s="11"/>
      <c r="C905" s="11"/>
      <c r="D905" s="11"/>
      <c r="F905" s="11"/>
    </row>
    <row r="906">
      <c r="B906" s="11"/>
      <c r="C906" s="11"/>
      <c r="D906" s="11"/>
      <c r="F906" s="11"/>
    </row>
    <row r="907">
      <c r="B907" s="11"/>
      <c r="C907" s="11"/>
      <c r="D907" s="11"/>
      <c r="F907" s="11"/>
    </row>
    <row r="908">
      <c r="B908" s="11"/>
      <c r="C908" s="11"/>
      <c r="D908" s="11"/>
      <c r="F908" s="11"/>
    </row>
    <row r="909">
      <c r="B909" s="11"/>
      <c r="C909" s="11"/>
      <c r="D909" s="11"/>
      <c r="F909" s="11"/>
    </row>
    <row r="910">
      <c r="B910" s="11"/>
      <c r="C910" s="11"/>
      <c r="D910" s="11"/>
      <c r="F910" s="11"/>
    </row>
    <row r="911">
      <c r="B911" s="11"/>
      <c r="C911" s="11"/>
      <c r="D911" s="11"/>
      <c r="F911" s="11"/>
    </row>
    <row r="912">
      <c r="B912" s="11"/>
      <c r="C912" s="11"/>
      <c r="D912" s="11"/>
      <c r="F912" s="11"/>
    </row>
    <row r="913">
      <c r="B913" s="11"/>
      <c r="C913" s="11"/>
      <c r="D913" s="11"/>
      <c r="F913" s="11"/>
    </row>
    <row r="914">
      <c r="B914" s="11"/>
      <c r="C914" s="11"/>
      <c r="D914" s="11"/>
      <c r="F914" s="11"/>
    </row>
    <row r="915">
      <c r="B915" s="11"/>
      <c r="C915" s="11"/>
      <c r="D915" s="11"/>
      <c r="F915" s="11"/>
    </row>
    <row r="916">
      <c r="B916" s="11"/>
      <c r="C916" s="11"/>
      <c r="D916" s="11"/>
      <c r="F916" s="11"/>
    </row>
    <row r="917">
      <c r="B917" s="11"/>
      <c r="C917" s="11"/>
      <c r="D917" s="11"/>
      <c r="F917" s="11"/>
    </row>
    <row r="918">
      <c r="B918" s="11"/>
      <c r="C918" s="11"/>
      <c r="D918" s="11"/>
      <c r="F918" s="11"/>
    </row>
    <row r="919">
      <c r="B919" s="11"/>
      <c r="C919" s="11"/>
      <c r="D919" s="11"/>
      <c r="F919" s="11"/>
    </row>
    <row r="920">
      <c r="B920" s="11"/>
      <c r="C920" s="11"/>
      <c r="D920" s="11"/>
      <c r="F920" s="11"/>
    </row>
    <row r="921">
      <c r="B921" s="11"/>
      <c r="C921" s="11"/>
      <c r="D921" s="11"/>
      <c r="F921" s="11"/>
    </row>
    <row r="922">
      <c r="B922" s="11"/>
      <c r="C922" s="11"/>
      <c r="D922" s="11"/>
      <c r="F922" s="11"/>
    </row>
    <row r="923">
      <c r="B923" s="11"/>
      <c r="C923" s="11"/>
      <c r="D923" s="11"/>
      <c r="F923" s="11"/>
    </row>
    <row r="924">
      <c r="B924" s="11"/>
      <c r="C924" s="11"/>
      <c r="D924" s="11"/>
      <c r="F924" s="11"/>
    </row>
    <row r="925">
      <c r="B925" s="11"/>
      <c r="C925" s="11"/>
      <c r="D925" s="11"/>
      <c r="F925" s="11"/>
    </row>
    <row r="926">
      <c r="B926" s="11"/>
      <c r="C926" s="11"/>
      <c r="D926" s="11"/>
      <c r="F926" s="11"/>
    </row>
    <row r="927">
      <c r="B927" s="11"/>
      <c r="C927" s="11"/>
      <c r="D927" s="11"/>
      <c r="F927" s="11"/>
    </row>
    <row r="928">
      <c r="B928" s="11"/>
      <c r="C928" s="11"/>
      <c r="D928" s="11"/>
      <c r="F928" s="11"/>
    </row>
    <row r="929">
      <c r="B929" s="11"/>
      <c r="C929" s="11"/>
      <c r="D929" s="11"/>
      <c r="F929" s="11"/>
    </row>
    <row r="930">
      <c r="B930" s="11"/>
      <c r="C930" s="11"/>
      <c r="D930" s="11"/>
      <c r="F930" s="11"/>
    </row>
    <row r="931">
      <c r="B931" s="11"/>
      <c r="C931" s="11"/>
      <c r="D931" s="11"/>
      <c r="F931" s="11"/>
    </row>
    <row r="932">
      <c r="B932" s="11"/>
      <c r="C932" s="11"/>
      <c r="D932" s="11"/>
      <c r="F932" s="11"/>
    </row>
    <row r="933">
      <c r="B933" s="11"/>
      <c r="C933" s="11"/>
      <c r="D933" s="11"/>
      <c r="F933" s="11"/>
    </row>
    <row r="934">
      <c r="B934" s="11"/>
      <c r="C934" s="11"/>
      <c r="D934" s="11"/>
      <c r="F934" s="11"/>
    </row>
    <row r="935">
      <c r="B935" s="11"/>
      <c r="C935" s="11"/>
      <c r="D935" s="11"/>
      <c r="F935" s="11"/>
    </row>
    <row r="936">
      <c r="B936" s="11"/>
      <c r="C936" s="11"/>
      <c r="D936" s="11"/>
      <c r="F936" s="11"/>
    </row>
    <row r="937">
      <c r="B937" s="11"/>
      <c r="C937" s="11"/>
      <c r="D937" s="11"/>
      <c r="F937" s="11"/>
    </row>
    <row r="938">
      <c r="B938" s="11"/>
      <c r="C938" s="11"/>
      <c r="D938" s="11"/>
      <c r="F938" s="11"/>
    </row>
    <row r="939">
      <c r="B939" s="11"/>
      <c r="C939" s="11"/>
      <c r="D939" s="11"/>
      <c r="F939" s="11"/>
    </row>
    <row r="940">
      <c r="B940" s="11"/>
      <c r="C940" s="11"/>
      <c r="D940" s="11"/>
      <c r="F940" s="11"/>
    </row>
    <row r="941">
      <c r="B941" s="11"/>
      <c r="C941" s="11"/>
      <c r="D941" s="11"/>
      <c r="F941" s="11"/>
    </row>
    <row r="942">
      <c r="B942" s="11"/>
      <c r="C942" s="11"/>
      <c r="D942" s="11"/>
      <c r="F942" s="11"/>
    </row>
    <row r="943">
      <c r="B943" s="11"/>
      <c r="C943" s="11"/>
      <c r="D943" s="11"/>
      <c r="F943" s="11"/>
    </row>
    <row r="944">
      <c r="B944" s="11"/>
      <c r="C944" s="11"/>
      <c r="D944" s="11"/>
      <c r="F944" s="11"/>
    </row>
    <row r="945">
      <c r="B945" s="11"/>
      <c r="C945" s="11"/>
      <c r="D945" s="11"/>
      <c r="F945" s="11"/>
    </row>
    <row r="946">
      <c r="B946" s="11"/>
      <c r="C946" s="11"/>
      <c r="D946" s="11"/>
      <c r="F946" s="11"/>
    </row>
    <row r="947">
      <c r="B947" s="11"/>
      <c r="C947" s="11"/>
      <c r="D947" s="11"/>
      <c r="F947" s="11"/>
    </row>
    <row r="948">
      <c r="B948" s="11"/>
      <c r="C948" s="11"/>
      <c r="D948" s="11"/>
      <c r="F948" s="11"/>
    </row>
    <row r="949">
      <c r="B949" s="11"/>
      <c r="C949" s="11"/>
      <c r="D949" s="11"/>
      <c r="F949" s="11"/>
    </row>
    <row r="950">
      <c r="B950" s="11"/>
      <c r="C950" s="11"/>
      <c r="D950" s="11"/>
      <c r="F950" s="11"/>
    </row>
    <row r="951">
      <c r="B951" s="11"/>
      <c r="C951" s="11"/>
      <c r="D951" s="11"/>
      <c r="F951" s="11"/>
    </row>
    <row r="952">
      <c r="B952" s="11"/>
      <c r="C952" s="11"/>
      <c r="D952" s="11"/>
      <c r="F952" s="11"/>
    </row>
    <row r="953">
      <c r="B953" s="11"/>
      <c r="C953" s="11"/>
      <c r="D953" s="11"/>
      <c r="F953" s="11"/>
    </row>
    <row r="954">
      <c r="B954" s="11"/>
      <c r="C954" s="11"/>
      <c r="D954" s="11"/>
      <c r="F954" s="11"/>
    </row>
    <row r="955">
      <c r="B955" s="11"/>
      <c r="C955" s="11"/>
      <c r="D955" s="11"/>
      <c r="F955" s="11"/>
    </row>
    <row r="956">
      <c r="B956" s="11"/>
      <c r="C956" s="11"/>
      <c r="D956" s="11"/>
      <c r="F956" s="11"/>
    </row>
    <row r="957">
      <c r="B957" s="11"/>
      <c r="C957" s="11"/>
      <c r="D957" s="11"/>
      <c r="F957" s="11"/>
    </row>
    <row r="958">
      <c r="B958" s="11"/>
      <c r="C958" s="11"/>
      <c r="D958" s="11"/>
      <c r="F958" s="11"/>
    </row>
    <row r="959">
      <c r="B959" s="11"/>
      <c r="C959" s="11"/>
      <c r="D959" s="11"/>
      <c r="F959" s="11"/>
    </row>
    <row r="960">
      <c r="B960" s="11"/>
      <c r="C960" s="11"/>
      <c r="D960" s="11"/>
      <c r="F960" s="11"/>
    </row>
    <row r="961">
      <c r="B961" s="11"/>
      <c r="C961" s="11"/>
      <c r="D961" s="11"/>
      <c r="F961" s="11"/>
    </row>
  </sheetData>
  <conditionalFormatting sqref="B2:D5">
    <cfRule type="cellIs" dxfId="0" priority="1" operator="greaterThan">
      <formula>"95%"</formula>
    </cfRule>
  </conditionalFormatting>
  <conditionalFormatting sqref="B6:E6">
    <cfRule type="colorScale" priority="2">
      <colorScale>
        <cfvo type="formula" val="80%"/>
        <cfvo type="max"/>
        <color rgb="FFFFFFFF"/>
        <color rgb="FF57BB8A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25"/>
    <col customWidth="1" min="2" max="9" width="21.0"/>
    <col customWidth="1" min="10" max="10" width="22.88"/>
    <col customWidth="1" min="11" max="11" width="22.75"/>
    <col customWidth="1" min="12" max="12" width="21.0"/>
    <col customWidth="1" min="13" max="13" width="16.63"/>
  </cols>
  <sheetData>
    <row r="1">
      <c r="A1" s="1" t="s">
        <v>0</v>
      </c>
      <c r="B1" s="17" t="s">
        <v>71</v>
      </c>
      <c r="C1" s="18" t="s">
        <v>72</v>
      </c>
      <c r="D1" s="17" t="s">
        <v>73</v>
      </c>
      <c r="E1" s="18" t="s">
        <v>74</v>
      </c>
      <c r="F1" s="17" t="s">
        <v>75</v>
      </c>
      <c r="G1" s="18" t="s">
        <v>76</v>
      </c>
      <c r="H1" s="17" t="s">
        <v>77</v>
      </c>
      <c r="I1" s="18" t="s">
        <v>78</v>
      </c>
      <c r="J1" s="17" t="s">
        <v>79</v>
      </c>
      <c r="K1" s="18" t="s">
        <v>80</v>
      </c>
      <c r="L1" s="19" t="s">
        <v>81</v>
      </c>
      <c r="M1" s="19" t="s">
        <v>82</v>
      </c>
    </row>
    <row r="2">
      <c r="A2" s="5" t="s">
        <v>17</v>
      </c>
      <c r="B2" s="9">
        <v>0.9080826292502246</v>
      </c>
      <c r="C2" s="9">
        <v>0.002280656920016752</v>
      </c>
      <c r="D2" s="9">
        <v>0.9315592631408559</v>
      </c>
      <c r="E2" s="9">
        <v>0.021599119658569074</v>
      </c>
      <c r="F2" s="20">
        <v>0.8937156349725751</v>
      </c>
      <c r="G2" s="20">
        <v>0.018738707579975682</v>
      </c>
      <c r="H2" s="11">
        <v>0.835676215228803</v>
      </c>
      <c r="I2" s="11">
        <v>0.02668673777022415</v>
      </c>
      <c r="J2" s="11">
        <v>0.898878286328385</v>
      </c>
      <c r="K2" s="11">
        <v>0.040548926839385525</v>
      </c>
      <c r="L2" s="11">
        <f t="shared" ref="L2:L31" si="1">max(B2:G2)</f>
        <v>0.9315592631</v>
      </c>
      <c r="M2" s="11">
        <f t="shared" ref="M2:M31" si="2">max(B2:K2)</f>
        <v>0.9315592631</v>
      </c>
    </row>
    <row r="3">
      <c r="A3" s="5" t="s">
        <v>32</v>
      </c>
      <c r="B3" s="9">
        <v>0.8808471402353953</v>
      </c>
      <c r="C3" s="9">
        <v>0.029828658036980326</v>
      </c>
      <c r="D3" s="9">
        <v>0.9491934329221413</v>
      </c>
      <c r="E3" s="9">
        <v>0.00802084496085024</v>
      </c>
      <c r="F3" s="20">
        <v>0.891132308386427</v>
      </c>
      <c r="G3" s="20">
        <v>0.018006529008044826</v>
      </c>
      <c r="H3" s="11">
        <v>0.8063453815969206</v>
      </c>
      <c r="I3" s="11">
        <v>0.09708444808855918</v>
      </c>
      <c r="J3" s="11">
        <v>0.8853515526679052</v>
      </c>
      <c r="K3" s="11">
        <v>0.027221177623647078</v>
      </c>
      <c r="L3" s="11">
        <f t="shared" si="1"/>
        <v>0.9491934329</v>
      </c>
      <c r="M3" s="11">
        <f t="shared" si="2"/>
        <v>0.9491934329</v>
      </c>
    </row>
    <row r="4">
      <c r="A4" s="5" t="s">
        <v>36</v>
      </c>
      <c r="B4" s="9">
        <v>0.9186197916666666</v>
      </c>
      <c r="C4" s="9">
        <v>0.03428531854643332</v>
      </c>
      <c r="D4" s="9">
        <v>0.8972981770833334</v>
      </c>
      <c r="E4" s="9">
        <v>0.03785150875039184</v>
      </c>
      <c r="F4" s="20">
        <v>0.8919270833333334</v>
      </c>
      <c r="G4" s="20">
        <v>0.021452909605126212</v>
      </c>
      <c r="H4" s="11">
        <v>0.8733723958333334</v>
      </c>
      <c r="I4" s="11">
        <v>0.042304247157892175</v>
      </c>
      <c r="J4" s="11">
        <v>0.94140625</v>
      </c>
      <c r="K4" s="11">
        <v>0.010775427973981401</v>
      </c>
      <c r="L4" s="11">
        <f t="shared" si="1"/>
        <v>0.9186197917</v>
      </c>
      <c r="M4" s="11">
        <f t="shared" si="2"/>
        <v>0.94140625</v>
      </c>
    </row>
    <row r="5">
      <c r="A5" s="5" t="s">
        <v>39</v>
      </c>
      <c r="B5" s="9">
        <v>0.9977213541666666</v>
      </c>
      <c r="C5" s="9">
        <v>7.4586192951754E-4</v>
      </c>
      <c r="D5" s="9">
        <v>0.9988606770833334</v>
      </c>
      <c r="E5" s="9">
        <v>0.00122881419844903</v>
      </c>
      <c r="F5" s="20">
        <v>0.9978841145833334</v>
      </c>
      <c r="G5" s="20">
        <v>0.002032876952603641</v>
      </c>
      <c r="H5" s="11">
        <v>0.9918619791666666</v>
      </c>
      <c r="I5" s="11">
        <v>0.009866825889471152</v>
      </c>
      <c r="J5" s="11">
        <v>0.9934895833333334</v>
      </c>
      <c r="K5" s="11">
        <v>0.005444573139218027</v>
      </c>
      <c r="L5" s="11">
        <f t="shared" si="1"/>
        <v>0.9988606771</v>
      </c>
      <c r="M5" s="11">
        <f t="shared" si="2"/>
        <v>0.9988606771</v>
      </c>
    </row>
    <row r="6">
      <c r="A6" s="5" t="s">
        <v>41</v>
      </c>
      <c r="B6" s="9">
        <v>0.8662109375</v>
      </c>
      <c r="C6" s="9">
        <v>0.01311105623251714</v>
      </c>
      <c r="D6" s="9">
        <v>0.8240559895833334</v>
      </c>
      <c r="E6" s="9">
        <v>0.042066877314004394</v>
      </c>
      <c r="F6" s="20">
        <v>0.8385416666666666</v>
      </c>
      <c r="G6" s="20">
        <v>0.06892264680697653</v>
      </c>
      <c r="H6" s="11">
        <v>0.76416015625</v>
      </c>
      <c r="I6" s="11">
        <v>0.03768316676088816</v>
      </c>
      <c r="J6" s="11">
        <v>0.85888671875</v>
      </c>
      <c r="K6" s="11">
        <v>0.03831996905904966</v>
      </c>
      <c r="L6" s="11">
        <f t="shared" si="1"/>
        <v>0.8662109375</v>
      </c>
      <c r="M6" s="11">
        <f t="shared" si="2"/>
        <v>0.8662109375</v>
      </c>
    </row>
    <row r="7">
      <c r="A7" s="5" t="s">
        <v>44</v>
      </c>
      <c r="B7" s="9">
        <v>0.9507212687634037</v>
      </c>
      <c r="C7" s="9">
        <v>0.016324482140769706</v>
      </c>
      <c r="D7" s="9">
        <v>0.9745013024913348</v>
      </c>
      <c r="E7" s="9">
        <v>0.018290138351872688</v>
      </c>
      <c r="F7" s="20">
        <v>0.9453236118424383</v>
      </c>
      <c r="G7" s="20">
        <v>0.014724308922841114</v>
      </c>
      <c r="H7" s="11">
        <v>0.8214787453197671</v>
      </c>
      <c r="I7" s="11">
        <v>0.0828315282476104</v>
      </c>
      <c r="J7" s="11">
        <v>0.9064547868199003</v>
      </c>
      <c r="K7" s="11">
        <v>0.03883409139561067</v>
      </c>
      <c r="L7" s="11">
        <f t="shared" si="1"/>
        <v>0.9745013025</v>
      </c>
      <c r="M7" s="11">
        <f t="shared" si="2"/>
        <v>0.9745013025</v>
      </c>
    </row>
    <row r="8">
      <c r="A8" s="5" t="s">
        <v>23</v>
      </c>
      <c r="B8" s="9">
        <v>0.8154296875</v>
      </c>
      <c r="C8" s="9">
        <v>0.06075914152461828</v>
      </c>
      <c r="D8" s="9">
        <v>0.01513671875</v>
      </c>
      <c r="E8" s="9">
        <v>0.0</v>
      </c>
      <c r="F8" s="20">
        <v>0.7156575520833334</v>
      </c>
      <c r="G8" s="20">
        <v>0.11969399271088167</v>
      </c>
      <c r="H8" s="11">
        <v>0.7273763020833334</v>
      </c>
      <c r="I8" s="11">
        <v>0.07349295179693423</v>
      </c>
      <c r="J8" s="11">
        <v>0.8347981770833334</v>
      </c>
      <c r="K8" s="11">
        <v>0.05859442816447825</v>
      </c>
      <c r="L8" s="11">
        <f t="shared" si="1"/>
        <v>0.8154296875</v>
      </c>
      <c r="M8" s="11">
        <f t="shared" si="2"/>
        <v>0.8347981771</v>
      </c>
    </row>
    <row r="9">
      <c r="A9" s="5" t="s">
        <v>33</v>
      </c>
      <c r="B9" s="9">
        <v>0.9397786458333334</v>
      </c>
      <c r="C9" s="9">
        <v>0.009597345695185926</v>
      </c>
      <c r="D9" s="9">
        <v>0.953125</v>
      </c>
      <c r="E9" s="9">
        <v>0.02244500963781485</v>
      </c>
      <c r="F9" s="20">
        <v>0.91357421875</v>
      </c>
      <c r="G9" s="20">
        <v>0.017462455802976236</v>
      </c>
      <c r="H9" s="11">
        <v>0.9228515625</v>
      </c>
      <c r="I9" s="11">
        <v>0.018548261634006424</v>
      </c>
      <c r="J9" s="11">
        <v>0.9210611979166666</v>
      </c>
      <c r="K9" s="11">
        <v>0.005082192381509129</v>
      </c>
      <c r="L9" s="11">
        <f t="shared" si="1"/>
        <v>0.953125</v>
      </c>
      <c r="M9" s="11">
        <f t="shared" si="2"/>
        <v>0.953125</v>
      </c>
    </row>
    <row r="10">
      <c r="A10" s="5" t="s">
        <v>35</v>
      </c>
      <c r="B10" s="9">
        <v>0.3092447916666667</v>
      </c>
      <c r="C10" s="9">
        <v>0.021871148633243628</v>
      </c>
      <c r="D10" s="9">
        <v>0.3849283854166667</v>
      </c>
      <c r="E10" s="9">
        <v>0.04116165565129035</v>
      </c>
      <c r="F10" s="20">
        <v>0.36279296875</v>
      </c>
      <c r="G10" s="20">
        <v>0.04095745503029447</v>
      </c>
      <c r="H10" s="11">
        <v>0.3484700520833333</v>
      </c>
      <c r="I10" s="11">
        <v>0.034994246600338834</v>
      </c>
      <c r="J10" s="11">
        <v>0.24300130208333334</v>
      </c>
      <c r="K10" s="11">
        <v>0.08946390989275595</v>
      </c>
      <c r="L10" s="11">
        <f t="shared" si="1"/>
        <v>0.3849283854</v>
      </c>
      <c r="M10" s="11">
        <f t="shared" si="2"/>
        <v>0.3849283854</v>
      </c>
    </row>
    <row r="11">
      <c r="A11" s="5" t="s">
        <v>48</v>
      </c>
      <c r="B11" s="9">
        <v>0.9547526041666666</v>
      </c>
      <c r="C11" s="9">
        <v>0.002689243431292041</v>
      </c>
      <c r="D11" s="9">
        <v>0.97509765625</v>
      </c>
      <c r="E11" s="9">
        <v>0.004228639666916205</v>
      </c>
      <c r="F11" s="20">
        <v>0.94482421875</v>
      </c>
      <c r="G11" s="20">
        <v>0.019117941357863176</v>
      </c>
      <c r="H11" s="11">
        <v>0.9348958333333334</v>
      </c>
      <c r="I11" s="11">
        <v>0.0034295747893400975</v>
      </c>
      <c r="J11" s="11">
        <v>0.9415690104166666</v>
      </c>
      <c r="K11" s="11">
        <v>0.010889146278436033</v>
      </c>
      <c r="L11" s="11">
        <f t="shared" si="1"/>
        <v>0.9750976563</v>
      </c>
      <c r="M11" s="11">
        <f t="shared" si="2"/>
        <v>0.9750976563</v>
      </c>
    </row>
    <row r="12">
      <c r="A12" s="5" t="s">
        <v>49</v>
      </c>
      <c r="B12" s="9">
        <v>0.5924479166666666</v>
      </c>
      <c r="C12" s="9">
        <v>0.018486029771485248</v>
      </c>
      <c r="D12" s="9">
        <v>0.6580403645833334</v>
      </c>
      <c r="E12" s="9">
        <v>0.04157373873934034</v>
      </c>
      <c r="F12" s="20">
        <v>0.5662434895833334</v>
      </c>
      <c r="G12" s="20">
        <v>0.06117626916555901</v>
      </c>
      <c r="H12" s="11">
        <v>0.59033203125</v>
      </c>
      <c r="I12" s="11">
        <v>0.024603755248718988</v>
      </c>
      <c r="J12" s="11">
        <v>0.5958658854166666</v>
      </c>
      <c r="K12" s="11">
        <v>0.014691776167183264</v>
      </c>
      <c r="L12" s="11">
        <f t="shared" si="1"/>
        <v>0.6580403646</v>
      </c>
      <c r="M12" s="11">
        <f t="shared" si="2"/>
        <v>0.6580403646</v>
      </c>
    </row>
    <row r="13">
      <c r="A13" s="5" t="s">
        <v>37</v>
      </c>
      <c r="B13" s="9">
        <v>0.3057683308919267</v>
      </c>
      <c r="C13" s="9">
        <v>0.00470100938000855</v>
      </c>
      <c r="D13" s="9">
        <v>0.3229802449544266</v>
      </c>
      <c r="E13" s="9">
        <v>0.015991768451125266</v>
      </c>
      <c r="F13" s="20">
        <v>0.2835439046223953</v>
      </c>
      <c r="G13" s="20">
        <v>0.009991315764192056</v>
      </c>
      <c r="H13" s="11">
        <v>0.29985809326171836</v>
      </c>
      <c r="I13" s="11">
        <v>0.007121429866751849</v>
      </c>
      <c r="J13" s="11">
        <v>0.313657124837239</v>
      </c>
      <c r="K13" s="11">
        <v>0.022106210260408016</v>
      </c>
      <c r="L13" s="11">
        <f t="shared" si="1"/>
        <v>0.322980245</v>
      </c>
      <c r="M13" s="11">
        <f t="shared" si="2"/>
        <v>0.322980245</v>
      </c>
    </row>
    <row r="14">
      <c r="A14" s="5" t="s">
        <v>40</v>
      </c>
      <c r="B14" s="9">
        <v>0.8796770349454873</v>
      </c>
      <c r="C14" s="9">
        <v>0.014205998393238798</v>
      </c>
      <c r="D14" s="9">
        <v>0.8952465989227604</v>
      </c>
      <c r="E14" s="9">
        <v>0.05493125676228926</v>
      </c>
      <c r="F14" s="20">
        <v>0.9120775693954165</v>
      </c>
      <c r="G14" s="20">
        <v>0.008669428768000304</v>
      </c>
      <c r="H14" s="11">
        <v>0.8970342948564034</v>
      </c>
      <c r="I14" s="11">
        <v>0.009480588113145845</v>
      </c>
      <c r="J14" s="11">
        <v>0.9160287362185747</v>
      </c>
      <c r="K14" s="11">
        <v>0.020678137130075717</v>
      </c>
      <c r="L14" s="11">
        <f t="shared" si="1"/>
        <v>0.9120775694</v>
      </c>
      <c r="M14" s="11">
        <f t="shared" si="2"/>
        <v>0.9160287362</v>
      </c>
    </row>
    <row r="15">
      <c r="A15" s="5" t="s">
        <v>34</v>
      </c>
      <c r="B15" s="9">
        <v>0.6682942708333334</v>
      </c>
      <c r="C15" s="9">
        <v>0.17706799908236262</v>
      </c>
      <c r="D15" s="9">
        <v>0.8502604166666666</v>
      </c>
      <c r="E15" s="9">
        <v>0.11785933449869354</v>
      </c>
      <c r="F15" s="20">
        <v>0.5706380208333334</v>
      </c>
      <c r="G15" s="20">
        <v>0.18247961618514938</v>
      </c>
      <c r="H15" s="11">
        <v>0.8876953125</v>
      </c>
      <c r="I15" s="11">
        <v>0.019983771415704222</v>
      </c>
      <c r="J15" s="11">
        <v>0.806640625</v>
      </c>
      <c r="K15" s="11">
        <v>0.09813845791221054</v>
      </c>
      <c r="L15" s="11">
        <f t="shared" si="1"/>
        <v>0.8502604167</v>
      </c>
      <c r="M15" s="11">
        <f t="shared" si="2"/>
        <v>0.8876953125</v>
      </c>
    </row>
    <row r="16">
      <c r="A16" s="5" t="s">
        <v>38</v>
      </c>
      <c r="B16" s="9">
        <v>0.8582356770833334</v>
      </c>
      <c r="C16" s="9">
        <v>0.054727448903941496</v>
      </c>
      <c r="D16" s="9">
        <v>0.016438802083333332</v>
      </c>
      <c r="E16" s="9">
        <v>0.0024086342101153546</v>
      </c>
      <c r="F16" s="20">
        <v>0.8600260416666666</v>
      </c>
      <c r="G16" s="20">
        <v>0.06260735510536593</v>
      </c>
      <c r="H16" s="11">
        <v>0.7722981770833334</v>
      </c>
      <c r="I16" s="11">
        <v>0.1691352496860447</v>
      </c>
      <c r="J16" s="11">
        <v>0.8763020833333334</v>
      </c>
      <c r="K16" s="11">
        <v>0.037379303717362845</v>
      </c>
      <c r="L16" s="11">
        <f t="shared" si="1"/>
        <v>0.8600260417</v>
      </c>
      <c r="M16" s="11">
        <f t="shared" si="2"/>
        <v>0.8763020833</v>
      </c>
    </row>
    <row r="17">
      <c r="A17" s="5" t="s">
        <v>50</v>
      </c>
      <c r="B17" s="9">
        <v>0.9250535044818741</v>
      </c>
      <c r="C17" s="9">
        <v>0.007794147436345195</v>
      </c>
      <c r="D17" s="9">
        <v>0.44208706839988193</v>
      </c>
      <c r="E17" s="9">
        <v>0.24580097432183656</v>
      </c>
      <c r="F17" s="20">
        <v>0.930242205364491</v>
      </c>
      <c r="G17" s="20">
        <v>0.012573578719040801</v>
      </c>
      <c r="H17" s="11">
        <v>0.926216321592805</v>
      </c>
      <c r="I17" s="11">
        <v>0.009357386991422894</v>
      </c>
      <c r="J17" s="11">
        <v>0.9213028365738363</v>
      </c>
      <c r="K17" s="11">
        <v>0.007912163358885616</v>
      </c>
      <c r="L17" s="11">
        <f t="shared" si="1"/>
        <v>0.9302422054</v>
      </c>
      <c r="M17" s="11">
        <f t="shared" si="2"/>
        <v>0.9302422054</v>
      </c>
    </row>
    <row r="18">
      <c r="A18" s="5" t="s">
        <v>51</v>
      </c>
      <c r="B18" s="9">
        <v>0.2666015625</v>
      </c>
      <c r="C18" s="9">
        <v>0.07195648881336994</v>
      </c>
      <c r="D18" s="9">
        <v>0.4444986979166667</v>
      </c>
      <c r="E18" s="9">
        <v>0.0776126592371417</v>
      </c>
      <c r="F18" s="20">
        <v>0.4241536458333333</v>
      </c>
      <c r="G18" s="20">
        <v>0.04144450405913137</v>
      </c>
      <c r="H18" s="11">
        <v>0.10807291666666667</v>
      </c>
      <c r="I18" s="11">
        <v>0.07650968845160241</v>
      </c>
      <c r="J18" s="11">
        <v>0.24235026041666666</v>
      </c>
      <c r="K18" s="11">
        <v>0.07212086518157827</v>
      </c>
      <c r="L18" s="11">
        <f t="shared" si="1"/>
        <v>0.4444986979</v>
      </c>
      <c r="M18" s="11">
        <f t="shared" si="2"/>
        <v>0.4444986979</v>
      </c>
    </row>
    <row r="19">
      <c r="A19" s="5" t="s">
        <v>52</v>
      </c>
      <c r="B19" s="9">
        <v>0.8521016438802084</v>
      </c>
      <c r="C19" s="9">
        <v>0.00874733733922024</v>
      </c>
      <c r="D19" s="9">
        <v>0.8268839518229166</v>
      </c>
      <c r="E19" s="9">
        <v>0.0016033592070390673</v>
      </c>
      <c r="F19" s="20">
        <v>0.8591715494791666</v>
      </c>
      <c r="G19" s="20">
        <v>0.007217283563717147</v>
      </c>
      <c r="H19" s="11">
        <v>0.8622334798177084</v>
      </c>
      <c r="I19" s="11">
        <v>0.006188550505101803</v>
      </c>
      <c r="J19" s="11">
        <v>0.849090576171875</v>
      </c>
      <c r="K19" s="11">
        <v>0.0022357120248281694</v>
      </c>
      <c r="L19" s="11">
        <f t="shared" si="1"/>
        <v>0.8591715495</v>
      </c>
      <c r="M19" s="11">
        <f t="shared" si="2"/>
        <v>0.8622334798</v>
      </c>
    </row>
    <row r="20">
      <c r="A20" s="5" t="s">
        <v>53</v>
      </c>
      <c r="B20" s="9">
        <v>0.8891728719075517</v>
      </c>
      <c r="C20" s="9">
        <v>0.003933471462965422</v>
      </c>
      <c r="D20" s="9">
        <v>0.37911732991536445</v>
      </c>
      <c r="E20" s="9">
        <v>0.282774788995546</v>
      </c>
      <c r="F20" s="20">
        <v>0.8917109171549477</v>
      </c>
      <c r="G20" s="20">
        <v>0.02714253404007567</v>
      </c>
      <c r="H20" s="11">
        <v>0.8784510294596352</v>
      </c>
      <c r="I20" s="11">
        <v>0.004818983918654287</v>
      </c>
      <c r="J20" s="11">
        <v>0.889918009440104</v>
      </c>
      <c r="K20" s="11">
        <v>0.0038940143683807646</v>
      </c>
      <c r="L20" s="11">
        <f t="shared" si="1"/>
        <v>0.8917109172</v>
      </c>
      <c r="M20" s="11">
        <f t="shared" si="2"/>
        <v>0.8917109172</v>
      </c>
    </row>
    <row r="21">
      <c r="A21" s="5" t="s">
        <v>54</v>
      </c>
      <c r="B21" s="9">
        <v>0.9537760416666666</v>
      </c>
      <c r="C21" s="9">
        <v>0.014396708585609347</v>
      </c>
      <c r="D21" s="9">
        <v>0.2919921875</v>
      </c>
      <c r="E21" s="9">
        <v>0.474879309730825</v>
      </c>
      <c r="F21" s="20">
        <v>0.9306640625</v>
      </c>
      <c r="G21" s="20">
        <v>0.008471363072703844</v>
      </c>
      <c r="H21" s="11">
        <v>0.9534505208333334</v>
      </c>
      <c r="I21" s="11">
        <v>0.022356314872012676</v>
      </c>
      <c r="J21" s="11">
        <v>0.9495442708333334</v>
      </c>
      <c r="K21" s="11">
        <v>0.016152690128793085</v>
      </c>
      <c r="L21" s="11">
        <f t="shared" si="1"/>
        <v>0.9537760417</v>
      </c>
      <c r="M21" s="11">
        <f t="shared" si="2"/>
        <v>0.9537760417</v>
      </c>
    </row>
    <row r="22">
      <c r="A22" s="5" t="s">
        <v>55</v>
      </c>
      <c r="B22" s="9">
        <v>0.8932503278805536</v>
      </c>
      <c r="C22" s="9">
        <v>0.0313450304329573</v>
      </c>
      <c r="D22" s="9">
        <v>0.8060419995162019</v>
      </c>
      <c r="E22" s="9">
        <v>0.13649300703623538</v>
      </c>
      <c r="F22" s="20">
        <v>0.8974100517441183</v>
      </c>
      <c r="G22" s="20">
        <v>0.01285451696469295</v>
      </c>
      <c r="H22" s="11">
        <v>0.894508203395069</v>
      </c>
      <c r="I22" s="11">
        <v>0.0062391109004898224</v>
      </c>
      <c r="J22" s="11">
        <v>0.8907976099721617</v>
      </c>
      <c r="K22" s="11">
        <v>0.015718034973461623</v>
      </c>
      <c r="L22" s="11">
        <f t="shared" si="1"/>
        <v>0.8974100517</v>
      </c>
      <c r="M22" s="11">
        <f t="shared" si="2"/>
        <v>0.8974100517</v>
      </c>
    </row>
    <row r="23">
      <c r="A23" s="5" t="s">
        <v>43</v>
      </c>
      <c r="B23" s="9">
        <v>0.8318684895833334</v>
      </c>
      <c r="C23" s="9">
        <v>0.021408409139702638</v>
      </c>
      <c r="D23" s="9">
        <v>0.85595703125</v>
      </c>
      <c r="E23" s="9">
        <v>0.024516387130142953</v>
      </c>
      <c r="F23" s="20">
        <v>0.8741861979166666</v>
      </c>
      <c r="G23" s="20">
        <v>0.03419828363168046</v>
      </c>
      <c r="H23" s="11">
        <v>0.8512369791666666</v>
      </c>
      <c r="I23" s="11">
        <v>0.037174635940818004</v>
      </c>
      <c r="J23" s="11">
        <v>0.8771158854166666</v>
      </c>
      <c r="K23" s="11">
        <v>0.04549757770057066</v>
      </c>
      <c r="L23" s="11">
        <f t="shared" si="1"/>
        <v>0.8741861979</v>
      </c>
      <c r="M23" s="11">
        <f t="shared" si="2"/>
        <v>0.8771158854</v>
      </c>
    </row>
    <row r="24">
      <c r="A24" s="5" t="s">
        <v>56</v>
      </c>
      <c r="B24" s="9">
        <v>0.52392578125</v>
      </c>
      <c r="C24" s="9">
        <v>0.12560981772617977</v>
      </c>
      <c r="D24" s="9">
        <v>0.01806640625</v>
      </c>
      <c r="E24" s="9">
        <v>0.0</v>
      </c>
      <c r="F24" s="20">
        <v>0.3580729166666667</v>
      </c>
      <c r="G24" s="20">
        <v>0.06798399538673414</v>
      </c>
      <c r="H24" s="11">
        <v>0.01123046875</v>
      </c>
      <c r="I24" s="11">
        <v>0.0071928319641876145</v>
      </c>
      <c r="J24" s="11">
        <v>0.12076822916666667</v>
      </c>
      <c r="K24" s="11">
        <v>0.08345087027609262</v>
      </c>
      <c r="L24" s="11">
        <f t="shared" si="1"/>
        <v>0.5239257813</v>
      </c>
      <c r="M24" s="11">
        <f t="shared" si="2"/>
        <v>0.5239257813</v>
      </c>
    </row>
    <row r="25">
      <c r="A25" s="5" t="s">
        <v>57</v>
      </c>
      <c r="B25" s="9">
        <v>0.7396992110453647</v>
      </c>
      <c r="C25" s="9">
        <v>0.020350006170965426</v>
      </c>
      <c r="D25" s="9">
        <v>0.7512352071005913</v>
      </c>
      <c r="E25" s="9">
        <v>0.05543256240458572</v>
      </c>
      <c r="F25" s="20">
        <v>0.7354561143984216</v>
      </c>
      <c r="G25" s="20">
        <v>0.017209747793972652</v>
      </c>
      <c r="H25" s="11">
        <v>0.7449457593688357</v>
      </c>
      <c r="I25" s="11">
        <v>0.031033699918763067</v>
      </c>
      <c r="J25" s="11">
        <v>0.759709072978303</v>
      </c>
      <c r="K25" s="11">
        <v>0.024978944440809104</v>
      </c>
      <c r="L25" s="11">
        <f t="shared" si="1"/>
        <v>0.7512352071</v>
      </c>
      <c r="M25" s="11">
        <f t="shared" si="2"/>
        <v>0.759709073</v>
      </c>
    </row>
    <row r="26">
      <c r="A26" s="5" t="s">
        <v>58</v>
      </c>
      <c r="B26" s="9">
        <v>0.008463541666666666</v>
      </c>
      <c r="C26" s="9">
        <v>0.0051288903830041446</v>
      </c>
      <c r="D26" s="9">
        <v>0.01318359375</v>
      </c>
      <c r="E26" s="9">
        <v>0.006000100452853764</v>
      </c>
      <c r="F26" s="20">
        <v>0.0013020833333333333</v>
      </c>
      <c r="G26" s="20">
        <v>0.0012288141984490152</v>
      </c>
      <c r="H26" s="11">
        <v>0.004557291666666667</v>
      </c>
      <c r="I26" s="11">
        <v>0.0041527834707594646</v>
      </c>
      <c r="J26" s="11">
        <v>0.011393229166666666</v>
      </c>
      <c r="K26" s="11">
        <v>0.010611929240041042</v>
      </c>
      <c r="L26" s="11">
        <f t="shared" si="1"/>
        <v>0.01318359375</v>
      </c>
      <c r="M26" s="11">
        <f t="shared" si="2"/>
        <v>0.01318359375</v>
      </c>
    </row>
    <row r="27">
      <c r="A27" s="5" t="s">
        <v>42</v>
      </c>
      <c r="B27" s="9">
        <v>0.88232421875</v>
      </c>
      <c r="C27" s="9">
        <v>0.03444719536026811</v>
      </c>
      <c r="D27" s="9">
        <v>0.01513671875</v>
      </c>
      <c r="E27" s="9">
        <v>0.0</v>
      </c>
      <c r="F27" s="20">
        <v>0.8701171875</v>
      </c>
      <c r="G27" s="20">
        <v>0.02911728811694448</v>
      </c>
      <c r="H27" s="11">
        <v>0.810546875</v>
      </c>
      <c r="I27" s="11">
        <v>0.1013709977156013</v>
      </c>
      <c r="J27" s="11">
        <v>0.8938802083333334</v>
      </c>
      <c r="K27" s="11">
        <v>0.03242324764915583</v>
      </c>
      <c r="L27" s="11">
        <f t="shared" si="1"/>
        <v>0.8823242188</v>
      </c>
      <c r="M27" s="11">
        <f t="shared" si="2"/>
        <v>0.8938802083</v>
      </c>
    </row>
    <row r="28">
      <c r="A28" s="5" t="s">
        <v>46</v>
      </c>
      <c r="B28" s="9">
        <v>0.8584618432881853</v>
      </c>
      <c r="C28" s="9">
        <v>0.003582446492370133</v>
      </c>
      <c r="D28" s="9">
        <v>0.9715618415686994</v>
      </c>
      <c r="E28" s="9">
        <v>0.0018492252552270037</v>
      </c>
      <c r="F28" s="20">
        <v>0.8478980578310686</v>
      </c>
      <c r="G28" s="20">
        <v>0.009056611965316824</v>
      </c>
      <c r="H28" s="11">
        <v>0.8502030664624923</v>
      </c>
      <c r="I28" s="11">
        <v>0.009664289199559289</v>
      </c>
      <c r="J28" s="11">
        <v>0.855829421897664</v>
      </c>
      <c r="K28" s="11">
        <v>0.009050563021000754</v>
      </c>
      <c r="L28" s="11">
        <f t="shared" si="1"/>
        <v>0.9715618416</v>
      </c>
      <c r="M28" s="11">
        <f t="shared" si="2"/>
        <v>0.9715618416</v>
      </c>
    </row>
    <row r="29">
      <c r="A29" s="5" t="s">
        <v>59</v>
      </c>
      <c r="B29" s="9">
        <v>0.4016927083333333</v>
      </c>
      <c r="C29" s="9">
        <v>0.1380043259831793</v>
      </c>
      <c r="D29" s="9">
        <v>0.3733723958333333</v>
      </c>
      <c r="E29" s="9">
        <v>0.036429620971662566</v>
      </c>
      <c r="F29" s="20">
        <v>0.5030924479166666</v>
      </c>
      <c r="G29" s="20">
        <v>0.043843016063866966</v>
      </c>
      <c r="H29" s="11">
        <v>0.4386393229166667</v>
      </c>
      <c r="I29" s="11">
        <v>0.038404905978038355</v>
      </c>
      <c r="J29" s="11">
        <v>0.5013020833333334</v>
      </c>
      <c r="K29" s="11">
        <v>0.05332409818482573</v>
      </c>
      <c r="L29" s="11">
        <f t="shared" si="1"/>
        <v>0.5030924479</v>
      </c>
      <c r="M29" s="11">
        <f t="shared" si="2"/>
        <v>0.5030924479</v>
      </c>
    </row>
    <row r="30">
      <c r="A30" s="5" t="s">
        <v>47</v>
      </c>
      <c r="B30" s="9">
        <v>0.8638141441928147</v>
      </c>
      <c r="C30" s="9">
        <v>0.021155029102156747</v>
      </c>
      <c r="D30" s="9">
        <v>0.9192365088493459</v>
      </c>
      <c r="E30" s="9">
        <v>0.03263908225012346</v>
      </c>
      <c r="F30" s="20">
        <v>0.8596906924729893</v>
      </c>
      <c r="G30" s="20">
        <v>0.023369148428478512</v>
      </c>
      <c r="H30" s="11">
        <v>0.8616777481468171</v>
      </c>
      <c r="I30" s="11">
        <v>0.017898267892854945</v>
      </c>
      <c r="J30" s="11">
        <v>0.8532119620774731</v>
      </c>
      <c r="K30" s="11">
        <v>0.025947550838181118</v>
      </c>
      <c r="L30" s="11">
        <f t="shared" si="1"/>
        <v>0.9192365088</v>
      </c>
      <c r="M30" s="11">
        <f t="shared" si="2"/>
        <v>0.9192365088</v>
      </c>
    </row>
    <row r="31">
      <c r="A31" s="5" t="s">
        <v>60</v>
      </c>
      <c r="B31" s="9">
        <v>0.80419921875</v>
      </c>
      <c r="C31" s="9">
        <v>0.013924579327733593</v>
      </c>
      <c r="D31" s="9">
        <v>0.8277994791666666</v>
      </c>
      <c r="E31" s="9">
        <v>0.021498704235448807</v>
      </c>
      <c r="F31" s="20">
        <v>0.7886555989583334</v>
      </c>
      <c r="G31" s="20">
        <v>0.006669702633353783</v>
      </c>
      <c r="H31" s="11">
        <v>0.788818359375</v>
      </c>
      <c r="I31" s="11">
        <v>0.02649685096024292</v>
      </c>
      <c r="J31" s="11">
        <v>0.81494140625</v>
      </c>
      <c r="K31" s="11">
        <v>0.02529065920621123</v>
      </c>
      <c r="L31" s="11">
        <f t="shared" si="1"/>
        <v>0.8277994792</v>
      </c>
      <c r="M31" s="11">
        <f t="shared" si="2"/>
        <v>0.8277994792</v>
      </c>
    </row>
    <row r="32">
      <c r="A32" s="12" t="s">
        <v>45</v>
      </c>
      <c r="B32" s="9">
        <v>0.7513412396782108</v>
      </c>
      <c r="C32" s="9">
        <v>0.0073795950902377965</v>
      </c>
      <c r="D32" s="9">
        <v>0.6194297815840396</v>
      </c>
      <c r="E32" s="9">
        <v>0.030191449134242265</v>
      </c>
      <c r="F32" s="15">
        <v>0.7453242044429819</v>
      </c>
      <c r="G32" s="15">
        <v>0.01092162902026961</v>
      </c>
      <c r="H32" s="15">
        <v>0.7152831624988436</v>
      </c>
      <c r="I32" s="15">
        <v>0.007163514906004931</v>
      </c>
      <c r="J32" s="15">
        <v>0.7454848794077807</v>
      </c>
      <c r="K32" s="15">
        <v>0.008081348462627848</v>
      </c>
      <c r="L32" s="15">
        <f t="shared" ref="L32:M32" si="3">AVERAGE(L2:L31)</f>
        <v>0.7871421837</v>
      </c>
      <c r="M32" s="15">
        <f t="shared" si="3"/>
        <v>0.7913368012</v>
      </c>
    </row>
    <row r="33">
      <c r="A33" s="12" t="s">
        <v>61</v>
      </c>
      <c r="B33" s="9">
        <v>0.25634763336963023</v>
      </c>
      <c r="C33" s="9">
        <v>0.0041080814653238025</v>
      </c>
      <c r="D33" s="9">
        <v>0.3658672661111189</v>
      </c>
      <c r="E33" s="9">
        <v>0.019582109262751033</v>
      </c>
      <c r="F33" s="15">
        <v>0.24960140414824114</v>
      </c>
      <c r="G33" s="15">
        <v>0.0041061960353534445</v>
      </c>
      <c r="H33" s="15">
        <v>0.2858778150608556</v>
      </c>
      <c r="I33" s="15">
        <v>0.006185499105526102</v>
      </c>
      <c r="J33" s="15">
        <v>0.27774295204076677</v>
      </c>
      <c r="K33" s="15">
        <v>0.005791594711488347</v>
      </c>
      <c r="L33" s="15">
        <f t="shared" ref="L33:M33" si="4">_xlfn.STDEV.S(L2:L31)</f>
        <v>0.2383132822</v>
      </c>
      <c r="M33" s="15">
        <f t="shared" si="4"/>
        <v>0.239754945</v>
      </c>
    </row>
    <row r="34">
      <c r="A34" s="12" t="s">
        <v>62</v>
      </c>
      <c r="B34" s="9">
        <v>0.858092914798586</v>
      </c>
      <c r="C34" s="9">
        <v>0.007840802576255983</v>
      </c>
      <c r="D34" s="9">
        <v>0.7979746476574056</v>
      </c>
      <c r="E34" s="9">
        <v>0.027958558922821442</v>
      </c>
      <c r="F34" s="15">
        <v>0.860956369229735</v>
      </c>
      <c r="G34" s="15">
        <v>0.011218634347913132</v>
      </c>
      <c r="H34" s="15">
        <v>0.8427633037094079</v>
      </c>
      <c r="I34" s="15">
        <v>0.010818710537687569</v>
      </c>
      <c r="J34" s="15">
        <v>0.8685025772001791</v>
      </c>
      <c r="K34" s="15">
        <v>0.005261106844119416</v>
      </c>
      <c r="L34" s="15">
        <f t="shared" ref="L34:M34" si="5">MEDIAN(L2:L31)</f>
        <v>0.8782552083</v>
      </c>
      <c r="M34" s="15">
        <f t="shared" si="5"/>
        <v>0.8897031148</v>
      </c>
    </row>
    <row r="35">
      <c r="A35" s="13"/>
      <c r="B35" s="11"/>
      <c r="C35" s="11"/>
      <c r="D35" s="11"/>
      <c r="E35" s="11"/>
      <c r="F35" s="11"/>
      <c r="G35" s="11"/>
    </row>
    <row r="36">
      <c r="A36" s="13"/>
      <c r="B36" s="11"/>
      <c r="C36" s="11"/>
      <c r="D36" s="11"/>
      <c r="E36" s="11"/>
      <c r="F36" s="11"/>
      <c r="G36" s="11"/>
    </row>
    <row r="37">
      <c r="A37" s="12" t="s">
        <v>63</v>
      </c>
      <c r="B37" s="15">
        <f>B12</f>
        <v>0.5924479167</v>
      </c>
      <c r="C37" s="15"/>
      <c r="D37" s="15">
        <f>D12</f>
        <v>0.6580403646</v>
      </c>
      <c r="E37" s="15"/>
      <c r="F37" s="15"/>
      <c r="G37" s="15"/>
      <c r="H37" s="15">
        <f>H12</f>
        <v>0.5903320313</v>
      </c>
      <c r="I37" s="15"/>
      <c r="J37" s="15">
        <f>J12</f>
        <v>0.5958658854</v>
      </c>
      <c r="K37" s="15"/>
      <c r="L37" s="15">
        <f>L12</f>
        <v>0.6580403646</v>
      </c>
    </row>
    <row r="38">
      <c r="A38" s="12" t="s">
        <v>64</v>
      </c>
      <c r="B38" s="15">
        <f>(B19+B20+B25)/3</f>
        <v>0.8269912423</v>
      </c>
      <c r="C38" s="15"/>
      <c r="D38" s="15">
        <f>(D19+D20+D25)/3</f>
        <v>0.6524121629</v>
      </c>
      <c r="E38" s="15"/>
      <c r="F38" s="15"/>
      <c r="G38" s="15"/>
      <c r="H38" s="15">
        <f>(H19+H20+H25)/3</f>
        <v>0.8285434229</v>
      </c>
      <c r="I38" s="15"/>
      <c r="J38" s="15">
        <f>(J19+J20+J25)/3</f>
        <v>0.8329058862</v>
      </c>
      <c r="K38" s="15"/>
      <c r="L38" s="15">
        <f>(L19+L20+L25)/3</f>
        <v>0.8340392246</v>
      </c>
    </row>
    <row r="39">
      <c r="A39" s="12" t="s">
        <v>65</v>
      </c>
      <c r="B39" s="15">
        <f>(B14+B17+B28)/3</f>
        <v>0.8877307942</v>
      </c>
      <c r="C39" s="15"/>
      <c r="D39" s="15">
        <f>(D14+D17+D28)/3</f>
        <v>0.7696318363</v>
      </c>
      <c r="E39" s="15"/>
      <c r="F39" s="15"/>
      <c r="G39" s="15"/>
      <c r="H39" s="15">
        <f>(H14+H17+H28)/3</f>
        <v>0.8911512276</v>
      </c>
      <c r="I39" s="15"/>
      <c r="J39" s="15">
        <f>(J14+J17+J28)/3</f>
        <v>0.8977203316</v>
      </c>
      <c r="K39" s="15"/>
      <c r="L39" s="15">
        <f>(L14+L17+L28)/3</f>
        <v>0.9379605388</v>
      </c>
    </row>
    <row r="40">
      <c r="A40" s="12" t="s">
        <v>66</v>
      </c>
      <c r="B40" s="15">
        <f>(B3+B4+B5+B7+B9+B10+B11+B13+B22+B23+B29+B31)/12</f>
        <v>0.7657053893</v>
      </c>
      <c r="C40" s="15"/>
      <c r="D40" s="15">
        <f>(D3+D4+D5+D7+D9+D10+D11+D13+D22+D23+D29+D31)/12</f>
        <v>0.7765963152</v>
      </c>
      <c r="E40" s="15"/>
      <c r="F40" s="15"/>
      <c r="G40" s="15"/>
      <c r="H40" s="15">
        <f>(H3+H4+H5+H7+H9+H10+H11+H13+H22+H23+H29+H31)/12</f>
        <v>0.7476947423</v>
      </c>
      <c r="I40" s="15"/>
      <c r="J40" s="15">
        <f>(J3+J4+J5+J7+J9+J10+J11+J13+J22+J23+J29+J31)/12</f>
        <v>0.7691789828</v>
      </c>
      <c r="K40" s="15"/>
      <c r="L40" s="15">
        <f>(L3+L4+L5+L7+L9+L10+L11+L13+L22+L23+L29+L31)/12</f>
        <v>0.7983162223</v>
      </c>
    </row>
    <row r="41">
      <c r="A41" s="12" t="s">
        <v>67</v>
      </c>
      <c r="B41" s="15">
        <f>(B2+B30)/2</f>
        <v>0.8859483867</v>
      </c>
      <c r="C41" s="15"/>
      <c r="D41" s="15">
        <f>(D2+D30)/2</f>
        <v>0.925397886</v>
      </c>
      <c r="E41" s="15"/>
      <c r="F41" s="15"/>
      <c r="G41" s="15"/>
      <c r="H41" s="15">
        <f>(H2+H30)/2</f>
        <v>0.8486769817</v>
      </c>
      <c r="I41" s="15"/>
      <c r="J41" s="15">
        <f>(J2+J30)/2</f>
        <v>0.8760451242</v>
      </c>
      <c r="K41" s="15"/>
      <c r="L41" s="15">
        <f>(L2+L30)/2</f>
        <v>0.925397886</v>
      </c>
    </row>
    <row r="42">
      <c r="A42" s="12" t="s">
        <v>68</v>
      </c>
      <c r="B42" s="15">
        <f>(B6+B21+B26)/3</f>
        <v>0.6094835069</v>
      </c>
      <c r="C42" s="15"/>
      <c r="D42" s="15">
        <f>(D6+D21+D26)/3</f>
        <v>0.3764105903</v>
      </c>
      <c r="E42" s="15"/>
      <c r="F42" s="15"/>
      <c r="G42" s="15"/>
      <c r="H42" s="15">
        <f>(H6+H21+H26)/3</f>
        <v>0.5740559896</v>
      </c>
      <c r="I42" s="15"/>
      <c r="J42" s="15">
        <f>(J6+J21+J26)/3</f>
        <v>0.6066080729</v>
      </c>
      <c r="K42" s="15"/>
      <c r="L42" s="15">
        <f>(L6+L21+L26)/3</f>
        <v>0.6110568576</v>
      </c>
    </row>
    <row r="43">
      <c r="A43" s="12" t="s">
        <v>69</v>
      </c>
      <c r="B43" s="15">
        <f>(B8+B15+B16+B27)/4</f>
        <v>0.8060709635</v>
      </c>
      <c r="C43" s="15"/>
      <c r="D43" s="15">
        <f>(D8+D15+D16+D27)/4</f>
        <v>0.2242431641</v>
      </c>
      <c r="E43" s="15"/>
      <c r="F43" s="15">
        <f>(F8+F15+F16+F27)/4</f>
        <v>0.7541097005</v>
      </c>
      <c r="G43" s="15"/>
      <c r="H43" s="15">
        <f>(H8+H15+H16+H27)/4</f>
        <v>0.7994791667</v>
      </c>
      <c r="I43" s="15"/>
      <c r="J43" s="15">
        <f>(J8+J15+J16+J27)/4</f>
        <v>0.8529052734</v>
      </c>
      <c r="K43" s="15"/>
      <c r="L43" s="15">
        <f>(L8+L15+L16+L27)/4</f>
        <v>0.8520100911</v>
      </c>
    </row>
    <row r="44">
      <c r="A44" s="12" t="s">
        <v>70</v>
      </c>
      <c r="B44" s="15">
        <f>(B18+B24)/2</f>
        <v>0.3952636719</v>
      </c>
      <c r="C44" s="15"/>
      <c r="D44" s="15">
        <f>(D18+D24)/2</f>
        <v>0.2312825521</v>
      </c>
      <c r="E44" s="15"/>
      <c r="F44" s="15"/>
      <c r="G44" s="15"/>
      <c r="H44" s="15">
        <f>(H18+H24)/2</f>
        <v>0.05965169271</v>
      </c>
      <c r="I44" s="15"/>
      <c r="J44" s="15">
        <f>(J18+J24)/2</f>
        <v>0.1815592448</v>
      </c>
      <c r="K44" s="15"/>
      <c r="L44" s="15">
        <f>(L18+L24)/2</f>
        <v>0.4842122396</v>
      </c>
    </row>
    <row r="45">
      <c r="A45" s="13"/>
      <c r="B45" s="11"/>
      <c r="C45" s="11"/>
      <c r="D45" s="11"/>
      <c r="E45" s="11"/>
      <c r="F45" s="11"/>
      <c r="G45" s="11"/>
    </row>
    <row r="46">
      <c r="A46" s="13"/>
      <c r="B46" s="11"/>
      <c r="C46" s="11"/>
      <c r="D46" s="11"/>
      <c r="E46" s="11"/>
      <c r="F46" s="11"/>
      <c r="G46" s="11"/>
    </row>
    <row r="47">
      <c r="B47" s="11"/>
      <c r="C47" s="11"/>
      <c r="D47" s="11"/>
      <c r="E47" s="11"/>
      <c r="F47" s="11"/>
      <c r="G47" s="11"/>
    </row>
    <row r="48">
      <c r="B48" s="11"/>
      <c r="C48" s="11"/>
      <c r="D48" s="11"/>
      <c r="E48" s="11"/>
      <c r="F48" s="11"/>
      <c r="G48" s="11"/>
    </row>
    <row r="49">
      <c r="B49" s="11"/>
      <c r="C49" s="11"/>
      <c r="D49" s="11"/>
      <c r="E49" s="11"/>
      <c r="F49" s="11"/>
      <c r="G49" s="11"/>
    </row>
    <row r="50">
      <c r="B50" s="11"/>
      <c r="C50" s="11"/>
      <c r="D50" s="11"/>
      <c r="E50" s="11"/>
      <c r="F50" s="11"/>
      <c r="G50" s="11"/>
    </row>
    <row r="51">
      <c r="B51" s="11"/>
      <c r="C51" s="11"/>
      <c r="D51" s="11"/>
      <c r="E51" s="11"/>
      <c r="F51" s="11"/>
      <c r="G51" s="11"/>
    </row>
    <row r="52">
      <c r="B52" s="11"/>
      <c r="C52" s="11"/>
      <c r="D52" s="11"/>
      <c r="E52" s="11"/>
      <c r="F52" s="11"/>
      <c r="G52" s="11"/>
    </row>
    <row r="53">
      <c r="B53" s="11"/>
      <c r="C53" s="11"/>
      <c r="D53" s="11"/>
      <c r="E53" s="11"/>
      <c r="F53" s="11"/>
      <c r="G53" s="11"/>
    </row>
    <row r="54">
      <c r="B54" s="11"/>
      <c r="C54" s="11"/>
      <c r="D54" s="11"/>
      <c r="E54" s="11"/>
      <c r="F54" s="11"/>
      <c r="G54" s="11"/>
    </row>
    <row r="55">
      <c r="B55" s="11"/>
      <c r="C55" s="11"/>
      <c r="D55" s="11"/>
      <c r="E55" s="11"/>
      <c r="F55" s="11"/>
      <c r="G55" s="11"/>
    </row>
    <row r="56">
      <c r="B56" s="11"/>
      <c r="C56" s="11"/>
      <c r="D56" s="11"/>
      <c r="E56" s="11"/>
      <c r="F56" s="11"/>
      <c r="G56" s="11"/>
    </row>
    <row r="57">
      <c r="B57" s="11"/>
      <c r="C57" s="11"/>
      <c r="D57" s="11"/>
      <c r="E57" s="11"/>
      <c r="F57" s="11"/>
      <c r="G57" s="11"/>
    </row>
    <row r="58">
      <c r="B58" s="11"/>
      <c r="C58" s="11"/>
      <c r="D58" s="11"/>
      <c r="E58" s="11"/>
      <c r="F58" s="11"/>
      <c r="G58" s="11"/>
    </row>
    <row r="59">
      <c r="B59" s="11"/>
      <c r="C59" s="11"/>
      <c r="D59" s="11"/>
      <c r="E59" s="11"/>
      <c r="F59" s="11"/>
      <c r="G59" s="11"/>
    </row>
    <row r="60">
      <c r="B60" s="11"/>
      <c r="C60" s="11"/>
      <c r="D60" s="11"/>
      <c r="E60" s="11"/>
      <c r="F60" s="11"/>
      <c r="G60" s="11"/>
    </row>
    <row r="61">
      <c r="B61" s="11"/>
      <c r="C61" s="11"/>
      <c r="D61" s="11"/>
      <c r="E61" s="11"/>
      <c r="F61" s="11"/>
      <c r="G61" s="11"/>
    </row>
    <row r="62">
      <c r="B62" s="11"/>
      <c r="C62" s="11"/>
      <c r="D62" s="11"/>
      <c r="E62" s="11"/>
      <c r="F62" s="11"/>
      <c r="G62" s="11"/>
    </row>
    <row r="63">
      <c r="B63" s="11"/>
      <c r="C63" s="11"/>
      <c r="D63" s="11"/>
      <c r="E63" s="11"/>
      <c r="F63" s="11"/>
      <c r="G63" s="11"/>
    </row>
    <row r="64">
      <c r="B64" s="11"/>
      <c r="C64" s="11"/>
      <c r="D64" s="11"/>
      <c r="E64" s="11"/>
      <c r="F64" s="11"/>
      <c r="G64" s="11"/>
    </row>
    <row r="65">
      <c r="B65" s="11"/>
      <c r="C65" s="11"/>
      <c r="D65" s="11"/>
      <c r="E65" s="11"/>
      <c r="F65" s="11"/>
      <c r="G65" s="11"/>
    </row>
    <row r="66">
      <c r="B66" s="11"/>
      <c r="C66" s="11"/>
      <c r="D66" s="11"/>
      <c r="E66" s="11"/>
      <c r="F66" s="11"/>
      <c r="G66" s="11"/>
    </row>
    <row r="67">
      <c r="B67" s="11"/>
      <c r="C67" s="11"/>
      <c r="D67" s="11"/>
      <c r="E67" s="11"/>
      <c r="F67" s="11"/>
      <c r="G67" s="11"/>
    </row>
    <row r="68">
      <c r="B68" s="11"/>
      <c r="C68" s="11"/>
      <c r="D68" s="11"/>
      <c r="E68" s="11"/>
      <c r="F68" s="11"/>
      <c r="G68" s="11"/>
    </row>
    <row r="69">
      <c r="B69" s="11"/>
      <c r="C69" s="11"/>
      <c r="D69" s="11"/>
      <c r="E69" s="11"/>
      <c r="F69" s="11"/>
      <c r="G69" s="11"/>
    </row>
    <row r="70">
      <c r="B70" s="11"/>
      <c r="C70" s="11"/>
      <c r="D70" s="11"/>
      <c r="E70" s="11"/>
      <c r="F70" s="11"/>
      <c r="G70" s="11"/>
    </row>
    <row r="71">
      <c r="B71" s="11"/>
      <c r="C71" s="11"/>
      <c r="D71" s="11"/>
      <c r="E71" s="11"/>
      <c r="F71" s="11"/>
      <c r="G71" s="11"/>
    </row>
    <row r="72">
      <c r="B72" s="11"/>
      <c r="C72" s="11"/>
      <c r="D72" s="11"/>
      <c r="E72" s="11"/>
      <c r="F72" s="11"/>
      <c r="G72" s="11"/>
    </row>
    <row r="73">
      <c r="B73" s="11"/>
      <c r="C73" s="11"/>
      <c r="D73" s="11"/>
      <c r="E73" s="11"/>
      <c r="F73" s="11"/>
      <c r="G73" s="11"/>
    </row>
    <row r="74">
      <c r="B74" s="11"/>
      <c r="C74" s="11"/>
      <c r="D74" s="11"/>
      <c r="E74" s="11"/>
      <c r="F74" s="11"/>
      <c r="G74" s="11"/>
    </row>
    <row r="75">
      <c r="B75" s="11"/>
      <c r="C75" s="11"/>
      <c r="D75" s="11"/>
      <c r="E75" s="11"/>
      <c r="F75" s="11"/>
      <c r="G75" s="11"/>
    </row>
    <row r="76">
      <c r="B76" s="11"/>
      <c r="C76" s="11"/>
      <c r="D76" s="11"/>
      <c r="E76" s="11"/>
      <c r="F76" s="11"/>
      <c r="G76" s="11"/>
    </row>
    <row r="77">
      <c r="B77" s="11"/>
      <c r="C77" s="11"/>
      <c r="D77" s="11"/>
      <c r="E77" s="11"/>
      <c r="F77" s="11"/>
      <c r="G77" s="11"/>
    </row>
    <row r="78">
      <c r="B78" s="11"/>
      <c r="C78" s="11"/>
      <c r="D78" s="11"/>
      <c r="E78" s="11"/>
      <c r="F78" s="11"/>
      <c r="G78" s="11"/>
    </row>
    <row r="79">
      <c r="B79" s="11"/>
      <c r="C79" s="11"/>
      <c r="D79" s="11"/>
      <c r="E79" s="11"/>
      <c r="F79" s="11"/>
      <c r="G79" s="11"/>
    </row>
    <row r="80">
      <c r="B80" s="11"/>
      <c r="C80" s="11"/>
      <c r="D80" s="11"/>
      <c r="E80" s="11"/>
      <c r="F80" s="11"/>
      <c r="G80" s="11"/>
    </row>
    <row r="81">
      <c r="B81" s="11"/>
      <c r="C81" s="11"/>
      <c r="D81" s="11"/>
      <c r="E81" s="11"/>
      <c r="F81" s="11"/>
      <c r="G81" s="11"/>
    </row>
    <row r="82">
      <c r="B82" s="11"/>
      <c r="C82" s="11"/>
      <c r="D82" s="11"/>
      <c r="E82" s="11"/>
      <c r="F82" s="11"/>
      <c r="G82" s="11"/>
    </row>
    <row r="83">
      <c r="B83" s="11"/>
      <c r="C83" s="11"/>
      <c r="D83" s="11"/>
      <c r="E83" s="11"/>
      <c r="F83" s="11"/>
      <c r="G83" s="11"/>
    </row>
    <row r="84">
      <c r="B84" s="11"/>
      <c r="C84" s="11"/>
      <c r="D84" s="11"/>
      <c r="E84" s="11"/>
      <c r="F84" s="11"/>
      <c r="G84" s="11"/>
    </row>
    <row r="85">
      <c r="B85" s="11"/>
      <c r="C85" s="11"/>
      <c r="D85" s="11"/>
      <c r="E85" s="11"/>
      <c r="F85" s="11"/>
      <c r="G85" s="11"/>
    </row>
    <row r="86">
      <c r="B86" s="11"/>
      <c r="C86" s="11"/>
      <c r="D86" s="11"/>
      <c r="E86" s="11"/>
      <c r="F86" s="11"/>
      <c r="G86" s="11"/>
    </row>
    <row r="87">
      <c r="B87" s="11"/>
      <c r="C87" s="11"/>
      <c r="D87" s="11"/>
      <c r="E87" s="11"/>
      <c r="F87" s="11"/>
      <c r="G87" s="11"/>
    </row>
    <row r="88">
      <c r="B88" s="11"/>
      <c r="C88" s="11"/>
      <c r="D88" s="11"/>
      <c r="E88" s="11"/>
      <c r="F88" s="11"/>
      <c r="G88" s="11"/>
    </row>
    <row r="89">
      <c r="B89" s="11"/>
      <c r="C89" s="11"/>
      <c r="D89" s="11"/>
      <c r="E89" s="11"/>
      <c r="F89" s="11"/>
      <c r="G89" s="11"/>
    </row>
    <row r="90">
      <c r="B90" s="11"/>
      <c r="C90" s="11"/>
      <c r="D90" s="11"/>
      <c r="E90" s="11"/>
      <c r="F90" s="11"/>
      <c r="G90" s="11"/>
    </row>
    <row r="91">
      <c r="B91" s="11"/>
      <c r="C91" s="11"/>
      <c r="D91" s="11"/>
      <c r="E91" s="11"/>
      <c r="F91" s="11"/>
      <c r="G91" s="11"/>
    </row>
    <row r="92">
      <c r="B92" s="11"/>
      <c r="C92" s="11"/>
      <c r="D92" s="11"/>
      <c r="E92" s="11"/>
      <c r="F92" s="11"/>
      <c r="G92" s="11"/>
    </row>
    <row r="93">
      <c r="B93" s="11"/>
      <c r="C93" s="11"/>
      <c r="D93" s="11"/>
      <c r="E93" s="11"/>
      <c r="F93" s="11"/>
      <c r="G93" s="11"/>
    </row>
    <row r="94">
      <c r="B94" s="11"/>
      <c r="C94" s="11"/>
      <c r="D94" s="11"/>
      <c r="E94" s="11"/>
      <c r="F94" s="11"/>
      <c r="G94" s="11"/>
    </row>
    <row r="95">
      <c r="B95" s="11"/>
      <c r="C95" s="11"/>
      <c r="D95" s="11"/>
      <c r="E95" s="11"/>
      <c r="F95" s="11"/>
      <c r="G95" s="11"/>
    </row>
    <row r="96">
      <c r="B96" s="11"/>
      <c r="C96" s="11"/>
      <c r="D96" s="11"/>
      <c r="E96" s="11"/>
      <c r="F96" s="11"/>
      <c r="G96" s="11"/>
    </row>
    <row r="97">
      <c r="B97" s="11"/>
      <c r="C97" s="11"/>
      <c r="D97" s="11"/>
      <c r="E97" s="11"/>
      <c r="F97" s="11"/>
      <c r="G97" s="11"/>
    </row>
    <row r="98">
      <c r="B98" s="11"/>
      <c r="C98" s="11"/>
      <c r="D98" s="11"/>
      <c r="E98" s="11"/>
      <c r="F98" s="11"/>
      <c r="G98" s="11"/>
    </row>
    <row r="99">
      <c r="B99" s="11"/>
      <c r="C99" s="11"/>
      <c r="D99" s="11"/>
      <c r="E99" s="11"/>
      <c r="F99" s="11"/>
      <c r="G99" s="11"/>
    </row>
    <row r="100">
      <c r="B100" s="11"/>
      <c r="C100" s="11"/>
      <c r="D100" s="11"/>
      <c r="E100" s="11"/>
      <c r="F100" s="11"/>
      <c r="G100" s="11"/>
    </row>
    <row r="101">
      <c r="B101" s="11"/>
      <c r="C101" s="11"/>
      <c r="D101" s="11"/>
      <c r="E101" s="11"/>
      <c r="F101" s="11"/>
      <c r="G101" s="11"/>
    </row>
    <row r="102">
      <c r="B102" s="11"/>
      <c r="C102" s="11"/>
      <c r="D102" s="11"/>
      <c r="E102" s="11"/>
      <c r="F102" s="11"/>
      <c r="G102" s="11"/>
    </row>
    <row r="103">
      <c r="B103" s="11"/>
      <c r="C103" s="11"/>
      <c r="D103" s="11"/>
      <c r="E103" s="11"/>
      <c r="F103" s="11"/>
      <c r="G103" s="11"/>
    </row>
    <row r="104">
      <c r="B104" s="11"/>
      <c r="C104" s="11"/>
      <c r="D104" s="11"/>
      <c r="E104" s="11"/>
      <c r="F104" s="11"/>
      <c r="G104" s="11"/>
    </row>
    <row r="105">
      <c r="B105" s="11"/>
      <c r="C105" s="11"/>
      <c r="D105" s="11"/>
      <c r="E105" s="11"/>
      <c r="F105" s="11"/>
      <c r="G105" s="11"/>
    </row>
    <row r="106">
      <c r="B106" s="11"/>
      <c r="C106" s="11"/>
      <c r="D106" s="11"/>
      <c r="E106" s="11"/>
      <c r="F106" s="11"/>
      <c r="G106" s="11"/>
    </row>
    <row r="107">
      <c r="B107" s="11"/>
      <c r="C107" s="11"/>
      <c r="D107" s="11"/>
      <c r="E107" s="11"/>
      <c r="F107" s="11"/>
      <c r="G107" s="11"/>
    </row>
    <row r="108">
      <c r="B108" s="11"/>
      <c r="C108" s="11"/>
      <c r="D108" s="11"/>
      <c r="E108" s="11"/>
      <c r="F108" s="11"/>
      <c r="G108" s="11"/>
    </row>
    <row r="109">
      <c r="B109" s="11"/>
      <c r="C109" s="11"/>
      <c r="D109" s="11"/>
      <c r="E109" s="11"/>
      <c r="F109" s="11"/>
      <c r="G109" s="11"/>
    </row>
    <row r="110">
      <c r="B110" s="11"/>
      <c r="C110" s="11"/>
      <c r="D110" s="11"/>
      <c r="E110" s="11"/>
      <c r="F110" s="11"/>
      <c r="G110" s="11"/>
    </row>
    <row r="111">
      <c r="B111" s="11"/>
      <c r="C111" s="11"/>
      <c r="D111" s="11"/>
      <c r="E111" s="11"/>
      <c r="F111" s="11"/>
      <c r="G111" s="11"/>
    </row>
    <row r="112">
      <c r="B112" s="11"/>
      <c r="C112" s="11"/>
      <c r="D112" s="11"/>
      <c r="E112" s="11"/>
      <c r="F112" s="11"/>
      <c r="G112" s="11"/>
    </row>
    <row r="113">
      <c r="B113" s="11"/>
      <c r="C113" s="11"/>
      <c r="D113" s="11"/>
      <c r="E113" s="11"/>
      <c r="F113" s="11"/>
      <c r="G113" s="11"/>
    </row>
    <row r="114">
      <c r="B114" s="11"/>
      <c r="C114" s="11"/>
      <c r="D114" s="11"/>
      <c r="E114" s="11"/>
      <c r="F114" s="11"/>
      <c r="G114" s="11"/>
    </row>
    <row r="115">
      <c r="B115" s="11"/>
      <c r="C115" s="11"/>
      <c r="D115" s="11"/>
      <c r="E115" s="11"/>
      <c r="F115" s="11"/>
      <c r="G115" s="11"/>
    </row>
    <row r="116">
      <c r="B116" s="11"/>
      <c r="C116" s="11"/>
      <c r="D116" s="11"/>
      <c r="E116" s="11"/>
      <c r="F116" s="11"/>
      <c r="G116" s="11"/>
    </row>
    <row r="117">
      <c r="B117" s="11"/>
      <c r="C117" s="11"/>
      <c r="D117" s="11"/>
      <c r="E117" s="11"/>
      <c r="F117" s="11"/>
      <c r="G117" s="11"/>
    </row>
    <row r="118">
      <c r="B118" s="11"/>
      <c r="C118" s="11"/>
      <c r="D118" s="11"/>
      <c r="E118" s="11"/>
      <c r="F118" s="11"/>
      <c r="G118" s="11"/>
    </row>
    <row r="119">
      <c r="B119" s="11"/>
      <c r="C119" s="11"/>
      <c r="D119" s="11"/>
      <c r="E119" s="11"/>
      <c r="F119" s="11"/>
      <c r="G119" s="11"/>
    </row>
    <row r="120">
      <c r="B120" s="11"/>
      <c r="C120" s="11"/>
      <c r="D120" s="11"/>
      <c r="E120" s="11"/>
      <c r="F120" s="11"/>
      <c r="G120" s="11"/>
    </row>
    <row r="121">
      <c r="B121" s="11"/>
      <c r="C121" s="11"/>
      <c r="D121" s="11"/>
      <c r="E121" s="11"/>
      <c r="F121" s="11"/>
      <c r="G121" s="11"/>
    </row>
    <row r="122">
      <c r="B122" s="11"/>
      <c r="C122" s="11"/>
      <c r="D122" s="11"/>
      <c r="E122" s="11"/>
      <c r="F122" s="11"/>
      <c r="G122" s="11"/>
    </row>
    <row r="123">
      <c r="B123" s="11"/>
      <c r="C123" s="11"/>
      <c r="D123" s="11"/>
      <c r="E123" s="11"/>
      <c r="F123" s="11"/>
      <c r="G123" s="11"/>
    </row>
    <row r="124">
      <c r="B124" s="11"/>
      <c r="C124" s="11"/>
      <c r="D124" s="11"/>
      <c r="E124" s="11"/>
      <c r="F124" s="11"/>
      <c r="G124" s="11"/>
    </row>
    <row r="125">
      <c r="B125" s="11"/>
      <c r="C125" s="11"/>
      <c r="D125" s="11"/>
      <c r="E125" s="11"/>
      <c r="F125" s="11"/>
      <c r="G125" s="11"/>
    </row>
    <row r="126">
      <c r="B126" s="11"/>
      <c r="C126" s="11"/>
      <c r="D126" s="11"/>
      <c r="E126" s="11"/>
      <c r="F126" s="11"/>
      <c r="G126" s="11"/>
    </row>
    <row r="127">
      <c r="B127" s="11"/>
      <c r="C127" s="11"/>
      <c r="D127" s="11"/>
      <c r="E127" s="11"/>
      <c r="F127" s="11"/>
      <c r="G127" s="11"/>
    </row>
    <row r="128">
      <c r="B128" s="11"/>
      <c r="C128" s="11"/>
      <c r="D128" s="11"/>
      <c r="E128" s="11"/>
      <c r="F128" s="11"/>
      <c r="G128" s="11"/>
    </row>
    <row r="129">
      <c r="B129" s="11"/>
      <c r="C129" s="11"/>
      <c r="D129" s="11"/>
      <c r="E129" s="11"/>
      <c r="F129" s="11"/>
      <c r="G129" s="11"/>
    </row>
    <row r="130">
      <c r="B130" s="11"/>
      <c r="C130" s="11"/>
      <c r="D130" s="11"/>
      <c r="E130" s="11"/>
      <c r="F130" s="11"/>
      <c r="G130" s="11"/>
    </row>
    <row r="131">
      <c r="B131" s="11"/>
      <c r="C131" s="11"/>
      <c r="D131" s="11"/>
      <c r="E131" s="11"/>
      <c r="F131" s="11"/>
      <c r="G131" s="11"/>
    </row>
    <row r="132">
      <c r="B132" s="11"/>
      <c r="C132" s="11"/>
      <c r="D132" s="11"/>
      <c r="E132" s="11"/>
      <c r="F132" s="11"/>
      <c r="G132" s="11"/>
    </row>
    <row r="133">
      <c r="B133" s="11"/>
      <c r="C133" s="11"/>
      <c r="D133" s="11"/>
      <c r="E133" s="11"/>
      <c r="F133" s="11"/>
      <c r="G133" s="11"/>
    </row>
    <row r="134">
      <c r="B134" s="11"/>
      <c r="C134" s="11"/>
      <c r="D134" s="11"/>
      <c r="E134" s="11"/>
      <c r="F134" s="11"/>
      <c r="G134" s="11"/>
    </row>
    <row r="135">
      <c r="B135" s="11"/>
      <c r="C135" s="11"/>
      <c r="D135" s="11"/>
      <c r="E135" s="11"/>
      <c r="F135" s="11"/>
      <c r="G135" s="11"/>
    </row>
    <row r="136">
      <c r="B136" s="11"/>
      <c r="C136" s="11"/>
      <c r="D136" s="11"/>
      <c r="E136" s="11"/>
      <c r="F136" s="11"/>
      <c r="G136" s="11"/>
    </row>
    <row r="137">
      <c r="B137" s="11"/>
      <c r="C137" s="11"/>
      <c r="D137" s="11"/>
      <c r="E137" s="11"/>
      <c r="F137" s="11"/>
      <c r="G137" s="11"/>
    </row>
    <row r="138">
      <c r="B138" s="11"/>
      <c r="C138" s="11"/>
      <c r="D138" s="11"/>
      <c r="E138" s="11"/>
      <c r="F138" s="11"/>
      <c r="G138" s="11"/>
    </row>
    <row r="139">
      <c r="B139" s="11"/>
      <c r="C139" s="11"/>
      <c r="D139" s="11"/>
      <c r="E139" s="11"/>
      <c r="F139" s="11"/>
      <c r="G139" s="11"/>
    </row>
    <row r="140">
      <c r="B140" s="11"/>
      <c r="C140" s="11"/>
      <c r="D140" s="11"/>
      <c r="E140" s="11"/>
      <c r="F140" s="11"/>
      <c r="G140" s="11"/>
    </row>
    <row r="141">
      <c r="B141" s="11"/>
      <c r="C141" s="11"/>
      <c r="D141" s="11"/>
      <c r="E141" s="11"/>
      <c r="F141" s="11"/>
      <c r="G141" s="11"/>
    </row>
    <row r="142">
      <c r="B142" s="11"/>
      <c r="C142" s="11"/>
      <c r="D142" s="11"/>
      <c r="E142" s="11"/>
      <c r="F142" s="11"/>
      <c r="G142" s="11"/>
    </row>
    <row r="143">
      <c r="B143" s="11"/>
      <c r="C143" s="11"/>
      <c r="D143" s="11"/>
      <c r="E143" s="11"/>
      <c r="F143" s="11"/>
      <c r="G143" s="11"/>
    </row>
    <row r="144">
      <c r="B144" s="11"/>
      <c r="C144" s="11"/>
      <c r="D144" s="11"/>
      <c r="E144" s="11"/>
      <c r="F144" s="11"/>
      <c r="G144" s="11"/>
    </row>
    <row r="145">
      <c r="B145" s="11"/>
      <c r="C145" s="11"/>
      <c r="D145" s="11"/>
      <c r="E145" s="11"/>
      <c r="F145" s="11"/>
      <c r="G145" s="11"/>
    </row>
    <row r="146">
      <c r="B146" s="11"/>
      <c r="C146" s="11"/>
      <c r="D146" s="11"/>
      <c r="E146" s="11"/>
      <c r="F146" s="11"/>
      <c r="G146" s="11"/>
    </row>
    <row r="147">
      <c r="B147" s="11"/>
      <c r="C147" s="11"/>
      <c r="D147" s="11"/>
      <c r="E147" s="11"/>
      <c r="F147" s="11"/>
      <c r="G147" s="11"/>
    </row>
    <row r="148">
      <c r="B148" s="11"/>
      <c r="C148" s="11"/>
      <c r="D148" s="11"/>
      <c r="E148" s="11"/>
      <c r="F148" s="11"/>
      <c r="G148" s="11"/>
    </row>
    <row r="149">
      <c r="B149" s="11"/>
      <c r="C149" s="11"/>
      <c r="D149" s="11"/>
      <c r="E149" s="11"/>
      <c r="F149" s="11"/>
      <c r="G149" s="11"/>
    </row>
    <row r="150">
      <c r="B150" s="11"/>
      <c r="C150" s="11"/>
      <c r="D150" s="11"/>
      <c r="E150" s="11"/>
      <c r="F150" s="11"/>
      <c r="G150" s="11"/>
    </row>
    <row r="151">
      <c r="B151" s="11"/>
      <c r="C151" s="11"/>
      <c r="D151" s="11"/>
      <c r="E151" s="11"/>
      <c r="F151" s="11"/>
      <c r="G151" s="11"/>
    </row>
    <row r="152">
      <c r="B152" s="11"/>
      <c r="C152" s="11"/>
      <c r="D152" s="11"/>
      <c r="E152" s="11"/>
      <c r="F152" s="11"/>
      <c r="G152" s="11"/>
    </row>
    <row r="153">
      <c r="B153" s="11"/>
      <c r="C153" s="11"/>
      <c r="D153" s="11"/>
      <c r="E153" s="11"/>
      <c r="F153" s="11"/>
      <c r="G153" s="11"/>
    </row>
    <row r="154">
      <c r="B154" s="11"/>
      <c r="C154" s="11"/>
      <c r="D154" s="11"/>
      <c r="E154" s="11"/>
      <c r="F154" s="11"/>
      <c r="G154" s="11"/>
    </row>
    <row r="155">
      <c r="B155" s="11"/>
      <c r="C155" s="11"/>
      <c r="D155" s="11"/>
      <c r="E155" s="11"/>
      <c r="F155" s="11"/>
      <c r="G155" s="11"/>
    </row>
    <row r="156">
      <c r="B156" s="11"/>
      <c r="C156" s="11"/>
      <c r="D156" s="11"/>
      <c r="E156" s="11"/>
      <c r="F156" s="11"/>
      <c r="G156" s="11"/>
    </row>
    <row r="157">
      <c r="B157" s="11"/>
      <c r="C157" s="11"/>
      <c r="D157" s="11"/>
      <c r="E157" s="11"/>
      <c r="F157" s="11"/>
      <c r="G157" s="11"/>
    </row>
    <row r="158">
      <c r="B158" s="11"/>
      <c r="C158" s="11"/>
      <c r="D158" s="11"/>
      <c r="E158" s="11"/>
      <c r="F158" s="11"/>
      <c r="G158" s="11"/>
    </row>
    <row r="159">
      <c r="B159" s="11"/>
      <c r="C159" s="11"/>
      <c r="D159" s="11"/>
      <c r="E159" s="11"/>
      <c r="F159" s="11"/>
      <c r="G159" s="11"/>
    </row>
    <row r="160">
      <c r="B160" s="11"/>
      <c r="C160" s="11"/>
      <c r="D160" s="11"/>
      <c r="E160" s="11"/>
      <c r="F160" s="11"/>
      <c r="G160" s="11"/>
    </row>
    <row r="161">
      <c r="B161" s="11"/>
      <c r="C161" s="11"/>
      <c r="D161" s="11"/>
      <c r="E161" s="11"/>
      <c r="F161" s="11"/>
      <c r="G161" s="11"/>
    </row>
    <row r="162">
      <c r="B162" s="11"/>
      <c r="C162" s="11"/>
      <c r="D162" s="11"/>
      <c r="E162" s="11"/>
      <c r="F162" s="11"/>
      <c r="G162" s="11"/>
    </row>
    <row r="163">
      <c r="B163" s="11"/>
      <c r="C163" s="11"/>
      <c r="D163" s="11"/>
      <c r="E163" s="11"/>
      <c r="F163" s="11"/>
      <c r="G163" s="11"/>
    </row>
    <row r="164">
      <c r="B164" s="11"/>
      <c r="C164" s="11"/>
      <c r="D164" s="11"/>
      <c r="E164" s="11"/>
      <c r="F164" s="11"/>
      <c r="G164" s="11"/>
    </row>
    <row r="165">
      <c r="B165" s="11"/>
      <c r="C165" s="11"/>
      <c r="D165" s="11"/>
      <c r="E165" s="11"/>
      <c r="F165" s="11"/>
      <c r="G165" s="11"/>
    </row>
    <row r="166">
      <c r="B166" s="11"/>
      <c r="C166" s="11"/>
      <c r="D166" s="11"/>
      <c r="E166" s="11"/>
      <c r="F166" s="11"/>
      <c r="G166" s="11"/>
    </row>
    <row r="167">
      <c r="B167" s="11"/>
      <c r="C167" s="11"/>
      <c r="D167" s="11"/>
      <c r="E167" s="11"/>
      <c r="F167" s="11"/>
      <c r="G167" s="11"/>
    </row>
    <row r="168">
      <c r="B168" s="11"/>
      <c r="C168" s="11"/>
      <c r="D168" s="11"/>
      <c r="E168" s="11"/>
      <c r="F168" s="11"/>
      <c r="G168" s="11"/>
    </row>
    <row r="169">
      <c r="B169" s="11"/>
      <c r="C169" s="11"/>
      <c r="D169" s="11"/>
      <c r="E169" s="11"/>
      <c r="F169" s="11"/>
      <c r="G169" s="11"/>
    </row>
    <row r="170">
      <c r="B170" s="11"/>
      <c r="C170" s="11"/>
      <c r="D170" s="11"/>
      <c r="E170" s="11"/>
      <c r="F170" s="11"/>
      <c r="G170" s="11"/>
    </row>
    <row r="171">
      <c r="B171" s="11"/>
      <c r="C171" s="11"/>
      <c r="D171" s="11"/>
      <c r="E171" s="11"/>
      <c r="F171" s="11"/>
      <c r="G171" s="11"/>
    </row>
    <row r="172">
      <c r="B172" s="11"/>
      <c r="C172" s="11"/>
      <c r="D172" s="11"/>
      <c r="E172" s="11"/>
      <c r="F172" s="11"/>
      <c r="G172" s="11"/>
    </row>
    <row r="173">
      <c r="B173" s="11"/>
      <c r="C173" s="11"/>
      <c r="D173" s="11"/>
      <c r="E173" s="11"/>
      <c r="F173" s="11"/>
      <c r="G173" s="11"/>
    </row>
    <row r="174">
      <c r="B174" s="11"/>
      <c r="C174" s="11"/>
      <c r="D174" s="11"/>
      <c r="E174" s="11"/>
      <c r="F174" s="11"/>
      <c r="G174" s="11"/>
    </row>
    <row r="175">
      <c r="B175" s="11"/>
      <c r="C175" s="11"/>
      <c r="D175" s="11"/>
      <c r="E175" s="11"/>
      <c r="F175" s="11"/>
      <c r="G175" s="11"/>
    </row>
    <row r="176">
      <c r="B176" s="11"/>
      <c r="C176" s="11"/>
      <c r="D176" s="11"/>
      <c r="E176" s="11"/>
      <c r="F176" s="11"/>
      <c r="G176" s="11"/>
    </row>
    <row r="177">
      <c r="B177" s="11"/>
      <c r="C177" s="11"/>
      <c r="D177" s="11"/>
      <c r="E177" s="11"/>
      <c r="F177" s="11"/>
      <c r="G177" s="11"/>
    </row>
    <row r="178">
      <c r="B178" s="11"/>
      <c r="C178" s="11"/>
      <c r="D178" s="11"/>
      <c r="E178" s="11"/>
      <c r="F178" s="11"/>
      <c r="G178" s="11"/>
    </row>
    <row r="179">
      <c r="B179" s="11"/>
      <c r="C179" s="11"/>
      <c r="D179" s="11"/>
      <c r="E179" s="11"/>
      <c r="F179" s="11"/>
      <c r="G179" s="11"/>
    </row>
    <row r="180">
      <c r="B180" s="11"/>
      <c r="C180" s="11"/>
      <c r="D180" s="11"/>
      <c r="E180" s="11"/>
      <c r="F180" s="11"/>
      <c r="G180" s="11"/>
    </row>
    <row r="181">
      <c r="B181" s="11"/>
      <c r="C181" s="11"/>
      <c r="D181" s="11"/>
      <c r="E181" s="11"/>
      <c r="F181" s="11"/>
      <c r="G181" s="11"/>
    </row>
    <row r="182">
      <c r="B182" s="11"/>
      <c r="C182" s="11"/>
      <c r="D182" s="11"/>
      <c r="E182" s="11"/>
      <c r="F182" s="11"/>
      <c r="G182" s="11"/>
    </row>
    <row r="183">
      <c r="B183" s="11"/>
      <c r="C183" s="11"/>
      <c r="D183" s="11"/>
      <c r="E183" s="11"/>
      <c r="F183" s="11"/>
      <c r="G183" s="11"/>
    </row>
    <row r="184">
      <c r="B184" s="11"/>
      <c r="C184" s="11"/>
      <c r="D184" s="11"/>
      <c r="E184" s="11"/>
      <c r="F184" s="11"/>
      <c r="G184" s="11"/>
    </row>
    <row r="185">
      <c r="B185" s="11"/>
      <c r="C185" s="11"/>
      <c r="D185" s="11"/>
      <c r="E185" s="11"/>
      <c r="F185" s="11"/>
      <c r="G185" s="11"/>
    </row>
    <row r="186">
      <c r="B186" s="11"/>
      <c r="C186" s="11"/>
      <c r="D186" s="11"/>
      <c r="E186" s="11"/>
      <c r="F186" s="11"/>
      <c r="G186" s="11"/>
    </row>
    <row r="187">
      <c r="B187" s="11"/>
      <c r="C187" s="11"/>
      <c r="D187" s="11"/>
      <c r="E187" s="11"/>
      <c r="F187" s="11"/>
      <c r="G187" s="11"/>
    </row>
    <row r="188">
      <c r="B188" s="11"/>
      <c r="C188" s="11"/>
      <c r="D188" s="11"/>
      <c r="E188" s="11"/>
      <c r="F188" s="11"/>
      <c r="G188" s="11"/>
    </row>
    <row r="189">
      <c r="B189" s="11"/>
      <c r="C189" s="11"/>
      <c r="D189" s="11"/>
      <c r="E189" s="11"/>
      <c r="F189" s="11"/>
      <c r="G189" s="11"/>
    </row>
    <row r="190">
      <c r="B190" s="11"/>
      <c r="C190" s="11"/>
      <c r="D190" s="11"/>
      <c r="E190" s="11"/>
      <c r="F190" s="11"/>
      <c r="G190" s="11"/>
    </row>
    <row r="191">
      <c r="B191" s="11"/>
      <c r="C191" s="11"/>
      <c r="D191" s="11"/>
      <c r="E191" s="11"/>
      <c r="F191" s="11"/>
      <c r="G191" s="11"/>
    </row>
    <row r="192">
      <c r="B192" s="11"/>
      <c r="C192" s="11"/>
      <c r="D192" s="11"/>
      <c r="E192" s="11"/>
      <c r="F192" s="11"/>
      <c r="G192" s="11"/>
    </row>
    <row r="193">
      <c r="B193" s="11"/>
      <c r="C193" s="11"/>
      <c r="D193" s="11"/>
      <c r="E193" s="11"/>
      <c r="F193" s="11"/>
      <c r="G193" s="11"/>
    </row>
    <row r="194">
      <c r="B194" s="11"/>
      <c r="C194" s="11"/>
      <c r="D194" s="11"/>
      <c r="E194" s="11"/>
      <c r="F194" s="11"/>
      <c r="G194" s="11"/>
    </row>
    <row r="195">
      <c r="B195" s="11"/>
      <c r="C195" s="11"/>
      <c r="D195" s="11"/>
      <c r="E195" s="11"/>
      <c r="F195" s="11"/>
      <c r="G195" s="11"/>
    </row>
    <row r="196">
      <c r="B196" s="11"/>
      <c r="C196" s="11"/>
      <c r="D196" s="11"/>
      <c r="E196" s="11"/>
      <c r="F196" s="11"/>
      <c r="G196" s="11"/>
    </row>
    <row r="197">
      <c r="B197" s="11"/>
      <c r="C197" s="11"/>
      <c r="D197" s="11"/>
      <c r="E197" s="11"/>
      <c r="F197" s="11"/>
      <c r="G197" s="11"/>
    </row>
    <row r="198">
      <c r="B198" s="11"/>
      <c r="C198" s="11"/>
      <c r="D198" s="11"/>
      <c r="E198" s="11"/>
      <c r="F198" s="11"/>
      <c r="G198" s="11"/>
    </row>
    <row r="199">
      <c r="B199" s="11"/>
      <c r="C199" s="11"/>
      <c r="D199" s="11"/>
      <c r="E199" s="11"/>
      <c r="F199" s="11"/>
      <c r="G199" s="11"/>
    </row>
    <row r="200">
      <c r="B200" s="11"/>
      <c r="C200" s="11"/>
      <c r="D200" s="11"/>
      <c r="E200" s="11"/>
      <c r="F200" s="11"/>
      <c r="G200" s="11"/>
    </row>
    <row r="201">
      <c r="B201" s="11"/>
      <c r="C201" s="11"/>
      <c r="D201" s="11"/>
      <c r="E201" s="11"/>
      <c r="F201" s="11"/>
      <c r="G201" s="11"/>
    </row>
    <row r="202">
      <c r="B202" s="11"/>
      <c r="C202" s="11"/>
      <c r="D202" s="11"/>
      <c r="E202" s="11"/>
      <c r="F202" s="11"/>
      <c r="G202" s="11"/>
    </row>
    <row r="203">
      <c r="B203" s="11"/>
      <c r="C203" s="11"/>
      <c r="D203" s="11"/>
      <c r="E203" s="11"/>
      <c r="F203" s="11"/>
      <c r="G203" s="11"/>
    </row>
    <row r="204">
      <c r="B204" s="11"/>
      <c r="C204" s="11"/>
      <c r="D204" s="11"/>
      <c r="E204" s="11"/>
      <c r="F204" s="11"/>
      <c r="G204" s="11"/>
    </row>
    <row r="205">
      <c r="B205" s="11"/>
      <c r="C205" s="11"/>
      <c r="D205" s="11"/>
      <c r="E205" s="11"/>
      <c r="F205" s="11"/>
      <c r="G205" s="11"/>
    </row>
    <row r="206">
      <c r="B206" s="11"/>
      <c r="C206" s="11"/>
      <c r="D206" s="11"/>
      <c r="E206" s="11"/>
      <c r="F206" s="11"/>
      <c r="G206" s="11"/>
    </row>
    <row r="207">
      <c r="B207" s="11"/>
      <c r="C207" s="11"/>
      <c r="D207" s="11"/>
      <c r="E207" s="11"/>
      <c r="F207" s="11"/>
      <c r="G207" s="11"/>
    </row>
    <row r="208">
      <c r="B208" s="11"/>
      <c r="C208" s="11"/>
      <c r="D208" s="11"/>
      <c r="E208" s="11"/>
      <c r="F208" s="11"/>
      <c r="G208" s="11"/>
    </row>
    <row r="209">
      <c r="B209" s="11"/>
      <c r="C209" s="11"/>
      <c r="D209" s="11"/>
      <c r="E209" s="11"/>
      <c r="F209" s="11"/>
      <c r="G209" s="11"/>
    </row>
    <row r="210">
      <c r="B210" s="11"/>
      <c r="C210" s="11"/>
      <c r="D210" s="11"/>
      <c r="E210" s="11"/>
      <c r="F210" s="11"/>
      <c r="G210" s="11"/>
    </row>
    <row r="211">
      <c r="B211" s="11"/>
      <c r="C211" s="11"/>
      <c r="D211" s="11"/>
      <c r="E211" s="11"/>
      <c r="F211" s="11"/>
      <c r="G211" s="11"/>
    </row>
    <row r="212">
      <c r="B212" s="11"/>
      <c r="C212" s="11"/>
      <c r="D212" s="11"/>
      <c r="E212" s="11"/>
      <c r="F212" s="11"/>
      <c r="G212" s="11"/>
    </row>
    <row r="213">
      <c r="B213" s="11"/>
      <c r="C213" s="11"/>
      <c r="D213" s="11"/>
      <c r="E213" s="11"/>
      <c r="F213" s="11"/>
      <c r="G213" s="11"/>
    </row>
    <row r="214">
      <c r="B214" s="11"/>
      <c r="C214" s="11"/>
      <c r="D214" s="11"/>
      <c r="E214" s="11"/>
      <c r="F214" s="11"/>
      <c r="G214" s="11"/>
    </row>
    <row r="215">
      <c r="B215" s="11"/>
      <c r="C215" s="11"/>
      <c r="D215" s="11"/>
      <c r="E215" s="11"/>
      <c r="F215" s="11"/>
      <c r="G215" s="11"/>
    </row>
    <row r="216">
      <c r="B216" s="11"/>
      <c r="C216" s="11"/>
      <c r="D216" s="11"/>
      <c r="E216" s="11"/>
      <c r="F216" s="11"/>
      <c r="G216" s="11"/>
    </row>
    <row r="217">
      <c r="B217" s="11"/>
      <c r="C217" s="11"/>
      <c r="D217" s="11"/>
      <c r="E217" s="11"/>
      <c r="F217" s="11"/>
      <c r="G217" s="11"/>
    </row>
    <row r="218">
      <c r="B218" s="11"/>
      <c r="C218" s="11"/>
      <c r="D218" s="11"/>
      <c r="E218" s="11"/>
      <c r="F218" s="11"/>
      <c r="G218" s="11"/>
    </row>
    <row r="219">
      <c r="B219" s="11"/>
      <c r="C219" s="11"/>
      <c r="D219" s="11"/>
      <c r="E219" s="11"/>
      <c r="F219" s="11"/>
      <c r="G219" s="11"/>
    </row>
    <row r="220">
      <c r="B220" s="11"/>
      <c r="C220" s="11"/>
      <c r="D220" s="11"/>
      <c r="E220" s="11"/>
      <c r="F220" s="11"/>
      <c r="G220" s="11"/>
    </row>
    <row r="221">
      <c r="B221" s="11"/>
      <c r="C221" s="11"/>
      <c r="D221" s="11"/>
      <c r="E221" s="11"/>
      <c r="F221" s="11"/>
      <c r="G221" s="11"/>
    </row>
    <row r="222">
      <c r="B222" s="11"/>
      <c r="C222" s="11"/>
      <c r="D222" s="11"/>
      <c r="E222" s="11"/>
      <c r="F222" s="11"/>
      <c r="G222" s="11"/>
    </row>
    <row r="223">
      <c r="B223" s="11"/>
      <c r="C223" s="11"/>
      <c r="D223" s="11"/>
      <c r="E223" s="11"/>
      <c r="F223" s="11"/>
      <c r="G223" s="11"/>
    </row>
    <row r="224">
      <c r="B224" s="11"/>
      <c r="C224" s="11"/>
      <c r="D224" s="11"/>
      <c r="E224" s="11"/>
      <c r="F224" s="11"/>
      <c r="G224" s="11"/>
    </row>
    <row r="225">
      <c r="B225" s="11"/>
      <c r="C225" s="11"/>
      <c r="D225" s="11"/>
      <c r="E225" s="11"/>
      <c r="F225" s="11"/>
      <c r="G225" s="11"/>
    </row>
    <row r="226">
      <c r="B226" s="11"/>
      <c r="C226" s="11"/>
      <c r="D226" s="11"/>
      <c r="E226" s="11"/>
      <c r="F226" s="11"/>
      <c r="G226" s="11"/>
    </row>
    <row r="227">
      <c r="B227" s="11"/>
      <c r="C227" s="11"/>
      <c r="D227" s="11"/>
      <c r="E227" s="11"/>
      <c r="F227" s="11"/>
      <c r="G227" s="11"/>
    </row>
    <row r="228">
      <c r="B228" s="11"/>
      <c r="C228" s="11"/>
      <c r="D228" s="11"/>
      <c r="E228" s="11"/>
      <c r="F228" s="11"/>
      <c r="G228" s="11"/>
    </row>
    <row r="229">
      <c r="B229" s="11"/>
      <c r="C229" s="11"/>
      <c r="D229" s="11"/>
      <c r="E229" s="11"/>
      <c r="F229" s="11"/>
      <c r="G229" s="11"/>
    </row>
    <row r="230">
      <c r="B230" s="11"/>
      <c r="C230" s="11"/>
      <c r="D230" s="11"/>
      <c r="E230" s="11"/>
      <c r="F230" s="11"/>
      <c r="G230" s="11"/>
    </row>
    <row r="231">
      <c r="B231" s="11"/>
      <c r="C231" s="11"/>
      <c r="D231" s="11"/>
      <c r="E231" s="11"/>
      <c r="F231" s="11"/>
      <c r="G231" s="11"/>
    </row>
    <row r="232">
      <c r="B232" s="11"/>
      <c r="C232" s="11"/>
      <c r="D232" s="11"/>
      <c r="E232" s="11"/>
      <c r="F232" s="11"/>
      <c r="G232" s="11"/>
    </row>
    <row r="233">
      <c r="B233" s="11"/>
      <c r="C233" s="11"/>
      <c r="D233" s="11"/>
      <c r="E233" s="11"/>
      <c r="F233" s="11"/>
      <c r="G233" s="11"/>
    </row>
    <row r="234">
      <c r="B234" s="11"/>
      <c r="C234" s="11"/>
      <c r="D234" s="11"/>
      <c r="E234" s="11"/>
      <c r="F234" s="11"/>
      <c r="G234" s="11"/>
    </row>
    <row r="235">
      <c r="B235" s="11"/>
      <c r="C235" s="11"/>
      <c r="D235" s="11"/>
      <c r="E235" s="11"/>
      <c r="F235" s="11"/>
      <c r="G235" s="11"/>
    </row>
    <row r="236">
      <c r="B236" s="11"/>
      <c r="C236" s="11"/>
      <c r="D236" s="11"/>
      <c r="E236" s="11"/>
      <c r="F236" s="11"/>
      <c r="G236" s="11"/>
    </row>
    <row r="237">
      <c r="B237" s="11"/>
      <c r="C237" s="11"/>
      <c r="D237" s="11"/>
      <c r="E237" s="11"/>
      <c r="F237" s="11"/>
      <c r="G237" s="11"/>
    </row>
    <row r="238">
      <c r="B238" s="11"/>
      <c r="C238" s="11"/>
      <c r="D238" s="11"/>
      <c r="E238" s="11"/>
      <c r="F238" s="11"/>
      <c r="G238" s="11"/>
    </row>
    <row r="239">
      <c r="B239" s="11"/>
      <c r="C239" s="11"/>
      <c r="D239" s="11"/>
      <c r="E239" s="11"/>
      <c r="F239" s="11"/>
      <c r="G239" s="11"/>
    </row>
    <row r="240">
      <c r="B240" s="11"/>
      <c r="C240" s="11"/>
      <c r="D240" s="11"/>
      <c r="E240" s="11"/>
      <c r="F240" s="11"/>
      <c r="G240" s="11"/>
    </row>
    <row r="241">
      <c r="B241" s="11"/>
      <c r="C241" s="11"/>
      <c r="D241" s="11"/>
      <c r="E241" s="11"/>
      <c r="F241" s="11"/>
      <c r="G241" s="11"/>
    </row>
    <row r="242">
      <c r="B242" s="11"/>
      <c r="C242" s="11"/>
      <c r="D242" s="11"/>
      <c r="E242" s="11"/>
      <c r="F242" s="11"/>
      <c r="G242" s="11"/>
    </row>
    <row r="243">
      <c r="B243" s="11"/>
      <c r="C243" s="11"/>
      <c r="D243" s="11"/>
      <c r="E243" s="11"/>
      <c r="F243" s="11"/>
      <c r="G243" s="11"/>
    </row>
    <row r="244">
      <c r="B244" s="11"/>
      <c r="C244" s="11"/>
      <c r="D244" s="11"/>
      <c r="E244" s="11"/>
      <c r="F244" s="11"/>
      <c r="G244" s="11"/>
    </row>
    <row r="245">
      <c r="B245" s="11"/>
      <c r="C245" s="11"/>
      <c r="D245" s="11"/>
      <c r="E245" s="11"/>
      <c r="F245" s="11"/>
      <c r="G245" s="11"/>
    </row>
    <row r="246">
      <c r="B246" s="11"/>
      <c r="C246" s="11"/>
      <c r="D246" s="11"/>
      <c r="E246" s="11"/>
      <c r="F246" s="11"/>
      <c r="G246" s="11"/>
    </row>
    <row r="247">
      <c r="B247" s="11"/>
      <c r="C247" s="11"/>
      <c r="D247" s="11"/>
      <c r="E247" s="11"/>
      <c r="F247" s="11"/>
      <c r="G247" s="11"/>
    </row>
    <row r="248">
      <c r="B248" s="11"/>
      <c r="C248" s="11"/>
      <c r="D248" s="11"/>
      <c r="E248" s="11"/>
      <c r="F248" s="11"/>
      <c r="G248" s="11"/>
    </row>
    <row r="249">
      <c r="B249" s="11"/>
      <c r="C249" s="11"/>
      <c r="D249" s="11"/>
      <c r="E249" s="11"/>
      <c r="F249" s="11"/>
      <c r="G249" s="11"/>
    </row>
    <row r="250">
      <c r="B250" s="11"/>
      <c r="C250" s="11"/>
      <c r="D250" s="11"/>
      <c r="E250" s="11"/>
      <c r="F250" s="11"/>
      <c r="G250" s="11"/>
    </row>
    <row r="251">
      <c r="B251" s="11"/>
      <c r="C251" s="11"/>
      <c r="D251" s="11"/>
      <c r="E251" s="11"/>
      <c r="F251" s="11"/>
      <c r="G251" s="11"/>
    </row>
    <row r="252">
      <c r="B252" s="11"/>
      <c r="C252" s="11"/>
      <c r="D252" s="11"/>
      <c r="E252" s="11"/>
      <c r="F252" s="11"/>
      <c r="G252" s="11"/>
    </row>
    <row r="253">
      <c r="B253" s="11"/>
      <c r="C253" s="11"/>
      <c r="D253" s="11"/>
      <c r="E253" s="11"/>
      <c r="F253" s="11"/>
      <c r="G253" s="11"/>
    </row>
    <row r="254">
      <c r="B254" s="11"/>
      <c r="C254" s="11"/>
      <c r="D254" s="11"/>
      <c r="E254" s="11"/>
      <c r="F254" s="11"/>
      <c r="G254" s="11"/>
    </row>
    <row r="255">
      <c r="B255" s="11"/>
      <c r="C255" s="11"/>
      <c r="D255" s="11"/>
      <c r="E255" s="11"/>
      <c r="F255" s="11"/>
      <c r="G255" s="11"/>
    </row>
    <row r="256">
      <c r="B256" s="11"/>
      <c r="C256" s="11"/>
      <c r="D256" s="11"/>
      <c r="E256" s="11"/>
      <c r="F256" s="11"/>
      <c r="G256" s="11"/>
    </row>
    <row r="257">
      <c r="B257" s="11"/>
      <c r="C257" s="11"/>
      <c r="D257" s="11"/>
      <c r="E257" s="11"/>
      <c r="F257" s="11"/>
      <c r="G257" s="11"/>
    </row>
    <row r="258">
      <c r="B258" s="11"/>
      <c r="C258" s="11"/>
      <c r="D258" s="11"/>
      <c r="E258" s="11"/>
      <c r="F258" s="11"/>
      <c r="G258" s="11"/>
    </row>
    <row r="259">
      <c r="B259" s="11"/>
      <c r="C259" s="11"/>
      <c r="D259" s="11"/>
      <c r="E259" s="11"/>
      <c r="F259" s="11"/>
      <c r="G259" s="11"/>
    </row>
    <row r="260">
      <c r="B260" s="11"/>
      <c r="C260" s="11"/>
      <c r="D260" s="11"/>
      <c r="E260" s="11"/>
      <c r="F260" s="11"/>
      <c r="G260" s="11"/>
    </row>
    <row r="261">
      <c r="B261" s="11"/>
      <c r="C261" s="11"/>
      <c r="D261" s="11"/>
      <c r="E261" s="11"/>
      <c r="F261" s="11"/>
      <c r="G261" s="11"/>
    </row>
    <row r="262">
      <c r="B262" s="11"/>
      <c r="C262" s="11"/>
      <c r="D262" s="11"/>
      <c r="E262" s="11"/>
      <c r="F262" s="11"/>
      <c r="G262" s="11"/>
    </row>
    <row r="263">
      <c r="B263" s="11"/>
      <c r="C263" s="11"/>
      <c r="D263" s="11"/>
      <c r="E263" s="11"/>
      <c r="F263" s="11"/>
      <c r="G263" s="11"/>
    </row>
    <row r="264">
      <c r="B264" s="11"/>
      <c r="C264" s="11"/>
      <c r="D264" s="11"/>
      <c r="E264" s="11"/>
      <c r="F264" s="11"/>
      <c r="G264" s="11"/>
    </row>
    <row r="265">
      <c r="B265" s="11"/>
      <c r="C265" s="11"/>
      <c r="D265" s="11"/>
      <c r="E265" s="11"/>
      <c r="F265" s="11"/>
      <c r="G265" s="11"/>
    </row>
    <row r="266">
      <c r="B266" s="11"/>
      <c r="C266" s="11"/>
      <c r="D266" s="11"/>
      <c r="E266" s="11"/>
      <c r="F266" s="11"/>
      <c r="G266" s="11"/>
    </row>
    <row r="267">
      <c r="B267" s="11"/>
      <c r="C267" s="11"/>
      <c r="D267" s="11"/>
      <c r="E267" s="11"/>
      <c r="F267" s="11"/>
      <c r="G267" s="11"/>
    </row>
    <row r="268">
      <c r="B268" s="11"/>
      <c r="C268" s="11"/>
      <c r="D268" s="11"/>
      <c r="E268" s="11"/>
      <c r="F268" s="11"/>
      <c r="G268" s="11"/>
    </row>
    <row r="269">
      <c r="B269" s="11"/>
      <c r="C269" s="11"/>
      <c r="D269" s="11"/>
      <c r="E269" s="11"/>
      <c r="F269" s="11"/>
      <c r="G269" s="11"/>
    </row>
    <row r="270">
      <c r="B270" s="11"/>
      <c r="C270" s="11"/>
      <c r="D270" s="11"/>
      <c r="E270" s="11"/>
      <c r="F270" s="11"/>
      <c r="G270" s="11"/>
    </row>
    <row r="271">
      <c r="B271" s="11"/>
      <c r="C271" s="11"/>
      <c r="D271" s="11"/>
      <c r="E271" s="11"/>
      <c r="F271" s="11"/>
      <c r="G271" s="11"/>
    </row>
    <row r="272">
      <c r="B272" s="11"/>
      <c r="C272" s="11"/>
      <c r="D272" s="11"/>
      <c r="E272" s="11"/>
      <c r="F272" s="11"/>
      <c r="G272" s="11"/>
    </row>
    <row r="273">
      <c r="B273" s="11"/>
      <c r="C273" s="11"/>
      <c r="D273" s="11"/>
      <c r="E273" s="11"/>
      <c r="F273" s="11"/>
      <c r="G273" s="11"/>
    </row>
    <row r="274">
      <c r="B274" s="11"/>
      <c r="C274" s="11"/>
      <c r="D274" s="11"/>
      <c r="E274" s="11"/>
      <c r="F274" s="11"/>
      <c r="G274" s="11"/>
    </row>
    <row r="275">
      <c r="B275" s="11"/>
      <c r="C275" s="11"/>
      <c r="D275" s="11"/>
      <c r="E275" s="11"/>
      <c r="F275" s="11"/>
      <c r="G275" s="11"/>
    </row>
    <row r="276">
      <c r="B276" s="11"/>
      <c r="C276" s="11"/>
      <c r="D276" s="11"/>
      <c r="E276" s="11"/>
      <c r="F276" s="11"/>
      <c r="G276" s="11"/>
    </row>
    <row r="277">
      <c r="B277" s="11"/>
      <c r="C277" s="11"/>
      <c r="D277" s="11"/>
      <c r="E277" s="11"/>
      <c r="F277" s="11"/>
      <c r="G277" s="11"/>
    </row>
    <row r="278">
      <c r="B278" s="11"/>
      <c r="C278" s="11"/>
      <c r="D278" s="11"/>
      <c r="E278" s="11"/>
      <c r="F278" s="11"/>
      <c r="G278" s="11"/>
    </row>
    <row r="279">
      <c r="B279" s="11"/>
      <c r="C279" s="11"/>
      <c r="D279" s="11"/>
      <c r="E279" s="11"/>
      <c r="F279" s="11"/>
      <c r="G279" s="11"/>
    </row>
    <row r="280">
      <c r="B280" s="11"/>
      <c r="C280" s="11"/>
      <c r="D280" s="11"/>
      <c r="E280" s="11"/>
      <c r="F280" s="11"/>
      <c r="G280" s="11"/>
    </row>
    <row r="281">
      <c r="B281" s="11"/>
      <c r="C281" s="11"/>
      <c r="D281" s="11"/>
      <c r="E281" s="11"/>
      <c r="F281" s="11"/>
      <c r="G281" s="11"/>
    </row>
    <row r="282">
      <c r="B282" s="11"/>
      <c r="C282" s="11"/>
      <c r="D282" s="11"/>
      <c r="E282" s="11"/>
      <c r="F282" s="11"/>
      <c r="G282" s="11"/>
    </row>
    <row r="283">
      <c r="B283" s="11"/>
      <c r="C283" s="11"/>
      <c r="D283" s="11"/>
      <c r="E283" s="11"/>
      <c r="F283" s="11"/>
      <c r="G283" s="11"/>
    </row>
    <row r="284">
      <c r="B284" s="11"/>
      <c r="C284" s="11"/>
      <c r="D284" s="11"/>
      <c r="E284" s="11"/>
      <c r="F284" s="11"/>
      <c r="G284" s="11"/>
    </row>
    <row r="285">
      <c r="B285" s="11"/>
      <c r="C285" s="11"/>
      <c r="D285" s="11"/>
      <c r="E285" s="11"/>
      <c r="F285" s="11"/>
      <c r="G285" s="11"/>
    </row>
    <row r="286">
      <c r="B286" s="11"/>
      <c r="C286" s="11"/>
      <c r="D286" s="11"/>
      <c r="E286" s="11"/>
      <c r="F286" s="11"/>
      <c r="G286" s="11"/>
    </row>
    <row r="287">
      <c r="B287" s="11"/>
      <c r="C287" s="11"/>
      <c r="D287" s="11"/>
      <c r="E287" s="11"/>
      <c r="F287" s="11"/>
      <c r="G287" s="11"/>
    </row>
    <row r="288">
      <c r="B288" s="11"/>
      <c r="C288" s="11"/>
      <c r="D288" s="11"/>
      <c r="E288" s="11"/>
      <c r="F288" s="11"/>
      <c r="G288" s="11"/>
    </row>
    <row r="289">
      <c r="B289" s="11"/>
      <c r="C289" s="11"/>
      <c r="D289" s="11"/>
      <c r="E289" s="11"/>
      <c r="F289" s="11"/>
      <c r="G289" s="11"/>
    </row>
    <row r="290">
      <c r="B290" s="11"/>
      <c r="C290" s="11"/>
      <c r="D290" s="11"/>
      <c r="E290" s="11"/>
      <c r="F290" s="11"/>
      <c r="G290" s="11"/>
    </row>
    <row r="291">
      <c r="B291" s="11"/>
      <c r="C291" s="11"/>
      <c r="D291" s="11"/>
      <c r="E291" s="11"/>
      <c r="F291" s="11"/>
      <c r="G291" s="11"/>
    </row>
    <row r="292">
      <c r="B292" s="11"/>
      <c r="C292" s="11"/>
      <c r="D292" s="11"/>
      <c r="E292" s="11"/>
      <c r="F292" s="11"/>
      <c r="G292" s="11"/>
    </row>
    <row r="293">
      <c r="B293" s="11"/>
      <c r="C293" s="11"/>
      <c r="D293" s="11"/>
      <c r="E293" s="11"/>
      <c r="F293" s="11"/>
      <c r="G293" s="11"/>
    </row>
    <row r="294">
      <c r="B294" s="11"/>
      <c r="C294" s="11"/>
      <c r="D294" s="11"/>
      <c r="E294" s="11"/>
      <c r="F294" s="11"/>
      <c r="G294" s="11"/>
    </row>
    <row r="295">
      <c r="B295" s="11"/>
      <c r="C295" s="11"/>
      <c r="D295" s="11"/>
      <c r="E295" s="11"/>
      <c r="F295" s="11"/>
      <c r="G295" s="11"/>
    </row>
    <row r="296">
      <c r="B296" s="11"/>
      <c r="C296" s="11"/>
      <c r="D296" s="11"/>
      <c r="E296" s="11"/>
      <c r="F296" s="11"/>
      <c r="G296" s="11"/>
    </row>
    <row r="297">
      <c r="B297" s="11"/>
      <c r="C297" s="11"/>
      <c r="D297" s="11"/>
      <c r="E297" s="11"/>
      <c r="F297" s="11"/>
      <c r="G297" s="11"/>
    </row>
    <row r="298">
      <c r="B298" s="11"/>
      <c r="C298" s="11"/>
      <c r="D298" s="11"/>
      <c r="E298" s="11"/>
      <c r="F298" s="11"/>
      <c r="G298" s="11"/>
    </row>
    <row r="299">
      <c r="B299" s="11"/>
      <c r="C299" s="11"/>
      <c r="D299" s="11"/>
      <c r="E299" s="11"/>
      <c r="F299" s="11"/>
      <c r="G299" s="11"/>
    </row>
    <row r="300">
      <c r="B300" s="11"/>
      <c r="C300" s="11"/>
      <c r="D300" s="11"/>
      <c r="E300" s="11"/>
      <c r="F300" s="11"/>
      <c r="G300" s="11"/>
    </row>
    <row r="301">
      <c r="B301" s="11"/>
      <c r="C301" s="11"/>
      <c r="D301" s="11"/>
      <c r="E301" s="11"/>
      <c r="F301" s="11"/>
      <c r="G301" s="11"/>
    </row>
    <row r="302">
      <c r="B302" s="11"/>
      <c r="C302" s="11"/>
      <c r="D302" s="11"/>
      <c r="E302" s="11"/>
      <c r="F302" s="11"/>
      <c r="G302" s="11"/>
    </row>
    <row r="303">
      <c r="B303" s="11"/>
      <c r="C303" s="11"/>
      <c r="D303" s="11"/>
      <c r="E303" s="11"/>
      <c r="F303" s="11"/>
      <c r="G303" s="11"/>
    </row>
    <row r="304">
      <c r="B304" s="11"/>
      <c r="C304" s="11"/>
      <c r="D304" s="11"/>
      <c r="E304" s="11"/>
      <c r="F304" s="11"/>
      <c r="G304" s="11"/>
    </row>
    <row r="305">
      <c r="B305" s="11"/>
      <c r="C305" s="11"/>
      <c r="D305" s="11"/>
      <c r="E305" s="11"/>
      <c r="F305" s="11"/>
      <c r="G305" s="11"/>
    </row>
    <row r="306">
      <c r="B306" s="11"/>
      <c r="C306" s="11"/>
      <c r="D306" s="11"/>
      <c r="E306" s="11"/>
      <c r="F306" s="11"/>
      <c r="G306" s="11"/>
    </row>
    <row r="307">
      <c r="B307" s="11"/>
      <c r="C307" s="11"/>
      <c r="D307" s="11"/>
      <c r="E307" s="11"/>
      <c r="F307" s="11"/>
      <c r="G307" s="11"/>
    </row>
    <row r="308">
      <c r="B308" s="11"/>
      <c r="C308" s="11"/>
      <c r="D308" s="11"/>
      <c r="E308" s="11"/>
      <c r="F308" s="11"/>
      <c r="G308" s="11"/>
    </row>
    <row r="309">
      <c r="B309" s="11"/>
      <c r="C309" s="11"/>
      <c r="D309" s="11"/>
      <c r="E309" s="11"/>
      <c r="F309" s="11"/>
      <c r="G309" s="11"/>
    </row>
    <row r="310">
      <c r="B310" s="11"/>
      <c r="C310" s="11"/>
      <c r="D310" s="11"/>
      <c r="E310" s="11"/>
      <c r="F310" s="11"/>
      <c r="G310" s="11"/>
    </row>
    <row r="311">
      <c r="B311" s="11"/>
      <c r="C311" s="11"/>
      <c r="D311" s="11"/>
      <c r="E311" s="11"/>
      <c r="F311" s="11"/>
      <c r="G311" s="11"/>
    </row>
    <row r="312">
      <c r="B312" s="11"/>
      <c r="C312" s="11"/>
      <c r="D312" s="11"/>
      <c r="E312" s="11"/>
      <c r="F312" s="11"/>
      <c r="G312" s="11"/>
    </row>
    <row r="313">
      <c r="B313" s="11"/>
      <c r="C313" s="11"/>
      <c r="D313" s="11"/>
      <c r="E313" s="11"/>
      <c r="F313" s="11"/>
      <c r="G313" s="11"/>
    </row>
    <row r="314">
      <c r="B314" s="11"/>
      <c r="C314" s="11"/>
      <c r="D314" s="11"/>
      <c r="E314" s="11"/>
      <c r="F314" s="11"/>
      <c r="G314" s="11"/>
    </row>
    <row r="315">
      <c r="B315" s="11"/>
      <c r="C315" s="11"/>
      <c r="D315" s="11"/>
      <c r="E315" s="11"/>
      <c r="F315" s="11"/>
      <c r="G315" s="11"/>
    </row>
    <row r="316">
      <c r="B316" s="11"/>
      <c r="C316" s="11"/>
      <c r="D316" s="11"/>
      <c r="E316" s="11"/>
      <c r="F316" s="11"/>
      <c r="G316" s="11"/>
    </row>
    <row r="317">
      <c r="B317" s="11"/>
      <c r="C317" s="11"/>
      <c r="D317" s="11"/>
      <c r="E317" s="11"/>
      <c r="F317" s="11"/>
      <c r="G317" s="11"/>
    </row>
    <row r="318">
      <c r="B318" s="11"/>
      <c r="C318" s="11"/>
      <c r="D318" s="11"/>
      <c r="E318" s="11"/>
      <c r="F318" s="11"/>
      <c r="G318" s="11"/>
    </row>
    <row r="319">
      <c r="B319" s="11"/>
      <c r="C319" s="11"/>
      <c r="D319" s="11"/>
      <c r="E319" s="11"/>
      <c r="F319" s="11"/>
      <c r="G319" s="11"/>
    </row>
    <row r="320">
      <c r="B320" s="11"/>
      <c r="C320" s="11"/>
      <c r="D320" s="11"/>
      <c r="E320" s="11"/>
      <c r="F320" s="11"/>
      <c r="G320" s="11"/>
    </row>
    <row r="321">
      <c r="B321" s="11"/>
      <c r="C321" s="11"/>
      <c r="D321" s="11"/>
      <c r="E321" s="11"/>
      <c r="F321" s="11"/>
      <c r="G321" s="11"/>
    </row>
    <row r="322">
      <c r="B322" s="11"/>
      <c r="C322" s="11"/>
      <c r="D322" s="11"/>
      <c r="E322" s="11"/>
      <c r="F322" s="11"/>
      <c r="G322" s="11"/>
    </row>
    <row r="323">
      <c r="B323" s="11"/>
      <c r="C323" s="11"/>
      <c r="D323" s="11"/>
      <c r="E323" s="11"/>
      <c r="F323" s="11"/>
      <c r="G323" s="11"/>
    </row>
    <row r="324">
      <c r="B324" s="11"/>
      <c r="C324" s="11"/>
      <c r="D324" s="11"/>
      <c r="E324" s="11"/>
      <c r="F324" s="11"/>
      <c r="G324" s="11"/>
    </row>
    <row r="325">
      <c r="B325" s="11"/>
      <c r="C325" s="11"/>
      <c r="D325" s="11"/>
      <c r="E325" s="11"/>
      <c r="F325" s="11"/>
      <c r="G325" s="11"/>
    </row>
    <row r="326">
      <c r="B326" s="11"/>
      <c r="C326" s="11"/>
      <c r="D326" s="11"/>
      <c r="E326" s="11"/>
      <c r="F326" s="11"/>
      <c r="G326" s="11"/>
    </row>
    <row r="327">
      <c r="B327" s="11"/>
      <c r="C327" s="11"/>
      <c r="D327" s="11"/>
      <c r="E327" s="11"/>
      <c r="F327" s="11"/>
      <c r="G327" s="11"/>
    </row>
    <row r="328">
      <c r="B328" s="11"/>
      <c r="C328" s="11"/>
      <c r="D328" s="11"/>
      <c r="E328" s="11"/>
      <c r="F328" s="11"/>
      <c r="G328" s="11"/>
    </row>
    <row r="329">
      <c r="B329" s="11"/>
      <c r="C329" s="11"/>
      <c r="D329" s="11"/>
      <c r="E329" s="11"/>
      <c r="F329" s="11"/>
      <c r="G329" s="11"/>
    </row>
    <row r="330">
      <c r="B330" s="11"/>
      <c r="C330" s="11"/>
      <c r="D330" s="11"/>
      <c r="E330" s="11"/>
      <c r="F330" s="11"/>
      <c r="G330" s="11"/>
    </row>
    <row r="331">
      <c r="B331" s="11"/>
      <c r="C331" s="11"/>
      <c r="D331" s="11"/>
      <c r="E331" s="11"/>
      <c r="F331" s="11"/>
      <c r="G331" s="11"/>
    </row>
    <row r="332">
      <c r="B332" s="11"/>
      <c r="C332" s="11"/>
      <c r="D332" s="11"/>
      <c r="E332" s="11"/>
      <c r="F332" s="11"/>
      <c r="G332" s="11"/>
    </row>
    <row r="333">
      <c r="B333" s="11"/>
      <c r="C333" s="11"/>
      <c r="D333" s="11"/>
      <c r="E333" s="11"/>
      <c r="F333" s="11"/>
      <c r="G333" s="11"/>
    </row>
    <row r="334">
      <c r="B334" s="11"/>
      <c r="C334" s="11"/>
      <c r="D334" s="11"/>
      <c r="E334" s="11"/>
      <c r="F334" s="11"/>
      <c r="G334" s="11"/>
    </row>
    <row r="335">
      <c r="B335" s="11"/>
      <c r="C335" s="11"/>
      <c r="D335" s="11"/>
      <c r="E335" s="11"/>
      <c r="F335" s="11"/>
      <c r="G335" s="11"/>
    </row>
    <row r="336">
      <c r="B336" s="11"/>
      <c r="C336" s="11"/>
      <c r="D336" s="11"/>
      <c r="E336" s="11"/>
      <c r="F336" s="11"/>
      <c r="G336" s="11"/>
    </row>
    <row r="337">
      <c r="B337" s="11"/>
      <c r="C337" s="11"/>
      <c r="D337" s="11"/>
      <c r="E337" s="11"/>
      <c r="F337" s="11"/>
      <c r="G337" s="11"/>
    </row>
    <row r="338">
      <c r="B338" s="11"/>
      <c r="C338" s="11"/>
      <c r="D338" s="11"/>
      <c r="E338" s="11"/>
      <c r="F338" s="11"/>
      <c r="G338" s="11"/>
    </row>
    <row r="339">
      <c r="B339" s="11"/>
      <c r="C339" s="11"/>
      <c r="D339" s="11"/>
      <c r="E339" s="11"/>
      <c r="F339" s="11"/>
      <c r="G339" s="11"/>
    </row>
    <row r="340">
      <c r="B340" s="11"/>
      <c r="C340" s="11"/>
      <c r="D340" s="11"/>
      <c r="E340" s="11"/>
      <c r="F340" s="11"/>
      <c r="G340" s="11"/>
    </row>
    <row r="341">
      <c r="B341" s="11"/>
      <c r="C341" s="11"/>
      <c r="D341" s="11"/>
      <c r="E341" s="11"/>
      <c r="F341" s="11"/>
      <c r="G341" s="11"/>
    </row>
    <row r="342">
      <c r="B342" s="11"/>
      <c r="C342" s="11"/>
      <c r="D342" s="11"/>
      <c r="E342" s="11"/>
      <c r="F342" s="11"/>
      <c r="G342" s="11"/>
    </row>
    <row r="343">
      <c r="B343" s="11"/>
      <c r="C343" s="11"/>
      <c r="D343" s="11"/>
      <c r="E343" s="11"/>
      <c r="F343" s="11"/>
      <c r="G343" s="11"/>
    </row>
    <row r="344">
      <c r="B344" s="11"/>
      <c r="C344" s="11"/>
      <c r="D344" s="11"/>
      <c r="E344" s="11"/>
      <c r="F344" s="11"/>
      <c r="G344" s="11"/>
    </row>
    <row r="345">
      <c r="B345" s="11"/>
      <c r="C345" s="11"/>
      <c r="D345" s="11"/>
      <c r="E345" s="11"/>
      <c r="F345" s="11"/>
      <c r="G345" s="11"/>
    </row>
    <row r="346">
      <c r="B346" s="11"/>
      <c r="C346" s="11"/>
      <c r="D346" s="11"/>
      <c r="E346" s="11"/>
      <c r="F346" s="11"/>
      <c r="G346" s="11"/>
    </row>
    <row r="347">
      <c r="B347" s="11"/>
      <c r="C347" s="11"/>
      <c r="D347" s="11"/>
      <c r="E347" s="11"/>
      <c r="F347" s="11"/>
      <c r="G347" s="11"/>
    </row>
    <row r="348">
      <c r="B348" s="11"/>
      <c r="C348" s="11"/>
      <c r="D348" s="11"/>
      <c r="E348" s="11"/>
      <c r="F348" s="11"/>
      <c r="G348" s="11"/>
    </row>
    <row r="349">
      <c r="B349" s="11"/>
      <c r="C349" s="11"/>
      <c r="D349" s="11"/>
      <c r="E349" s="11"/>
      <c r="F349" s="11"/>
      <c r="G349" s="11"/>
    </row>
    <row r="350">
      <c r="B350" s="11"/>
      <c r="C350" s="11"/>
      <c r="D350" s="11"/>
      <c r="E350" s="11"/>
      <c r="F350" s="11"/>
      <c r="G350" s="11"/>
    </row>
    <row r="351">
      <c r="B351" s="11"/>
      <c r="C351" s="11"/>
      <c r="D351" s="11"/>
      <c r="E351" s="11"/>
      <c r="F351" s="11"/>
      <c r="G351" s="11"/>
    </row>
    <row r="352">
      <c r="B352" s="11"/>
      <c r="C352" s="11"/>
      <c r="D352" s="11"/>
      <c r="E352" s="11"/>
      <c r="F352" s="11"/>
      <c r="G352" s="11"/>
    </row>
    <row r="353">
      <c r="B353" s="11"/>
      <c r="C353" s="11"/>
      <c r="D353" s="11"/>
      <c r="E353" s="11"/>
      <c r="F353" s="11"/>
      <c r="G353" s="11"/>
    </row>
    <row r="354">
      <c r="B354" s="11"/>
      <c r="C354" s="11"/>
      <c r="D354" s="11"/>
      <c r="E354" s="11"/>
      <c r="F354" s="11"/>
      <c r="G354" s="11"/>
    </row>
    <row r="355">
      <c r="B355" s="11"/>
      <c r="C355" s="11"/>
      <c r="D355" s="11"/>
      <c r="E355" s="11"/>
      <c r="F355" s="11"/>
      <c r="G355" s="11"/>
    </row>
    <row r="356">
      <c r="B356" s="11"/>
      <c r="C356" s="11"/>
      <c r="D356" s="11"/>
      <c r="E356" s="11"/>
      <c r="F356" s="11"/>
      <c r="G356" s="11"/>
    </row>
    <row r="357">
      <c r="B357" s="11"/>
      <c r="C357" s="11"/>
      <c r="D357" s="11"/>
      <c r="E357" s="11"/>
      <c r="F357" s="11"/>
      <c r="G357" s="11"/>
    </row>
    <row r="358">
      <c r="B358" s="11"/>
      <c r="C358" s="11"/>
      <c r="D358" s="11"/>
      <c r="E358" s="11"/>
      <c r="F358" s="11"/>
      <c r="G358" s="11"/>
    </row>
    <row r="359">
      <c r="B359" s="11"/>
      <c r="C359" s="11"/>
      <c r="D359" s="11"/>
      <c r="E359" s="11"/>
      <c r="F359" s="11"/>
      <c r="G359" s="11"/>
    </row>
    <row r="360">
      <c r="B360" s="11"/>
      <c r="C360" s="11"/>
      <c r="D360" s="11"/>
      <c r="E360" s="11"/>
      <c r="F360" s="11"/>
      <c r="G360" s="11"/>
    </row>
    <row r="361">
      <c r="B361" s="11"/>
      <c r="C361" s="11"/>
      <c r="D361" s="11"/>
      <c r="E361" s="11"/>
      <c r="F361" s="11"/>
      <c r="G361" s="11"/>
    </row>
    <row r="362">
      <c r="B362" s="11"/>
      <c r="C362" s="11"/>
      <c r="D362" s="11"/>
      <c r="E362" s="11"/>
      <c r="F362" s="11"/>
      <c r="G362" s="11"/>
    </row>
    <row r="363">
      <c r="B363" s="11"/>
      <c r="C363" s="11"/>
      <c r="D363" s="11"/>
      <c r="E363" s="11"/>
      <c r="F363" s="11"/>
      <c r="G363" s="11"/>
    </row>
    <row r="364">
      <c r="B364" s="11"/>
      <c r="C364" s="11"/>
      <c r="D364" s="11"/>
      <c r="E364" s="11"/>
      <c r="F364" s="11"/>
      <c r="G364" s="11"/>
    </row>
    <row r="365">
      <c r="B365" s="11"/>
      <c r="C365" s="11"/>
      <c r="D365" s="11"/>
      <c r="E365" s="11"/>
      <c r="F365" s="11"/>
      <c r="G365" s="11"/>
    </row>
    <row r="366">
      <c r="B366" s="11"/>
      <c r="C366" s="11"/>
      <c r="D366" s="11"/>
      <c r="E366" s="11"/>
      <c r="F366" s="11"/>
      <c r="G366" s="11"/>
    </row>
    <row r="367">
      <c r="B367" s="11"/>
      <c r="C367" s="11"/>
      <c r="D367" s="11"/>
      <c r="E367" s="11"/>
      <c r="F367" s="11"/>
      <c r="G367" s="11"/>
    </row>
    <row r="368">
      <c r="B368" s="11"/>
      <c r="C368" s="11"/>
      <c r="D368" s="11"/>
      <c r="E368" s="11"/>
      <c r="F368" s="11"/>
      <c r="G368" s="11"/>
    </row>
    <row r="369">
      <c r="B369" s="11"/>
      <c r="C369" s="11"/>
      <c r="D369" s="11"/>
      <c r="E369" s="11"/>
      <c r="F369" s="11"/>
      <c r="G369" s="11"/>
    </row>
    <row r="370">
      <c r="B370" s="11"/>
      <c r="C370" s="11"/>
      <c r="D370" s="11"/>
      <c r="E370" s="11"/>
      <c r="F370" s="11"/>
      <c r="G370" s="11"/>
    </row>
    <row r="371">
      <c r="B371" s="11"/>
      <c r="C371" s="11"/>
      <c r="D371" s="11"/>
      <c r="E371" s="11"/>
      <c r="F371" s="11"/>
      <c r="G371" s="11"/>
    </row>
    <row r="372">
      <c r="B372" s="11"/>
      <c r="C372" s="11"/>
      <c r="D372" s="11"/>
      <c r="E372" s="11"/>
      <c r="F372" s="11"/>
      <c r="G372" s="11"/>
    </row>
    <row r="373">
      <c r="B373" s="11"/>
      <c r="C373" s="11"/>
      <c r="D373" s="11"/>
      <c r="E373" s="11"/>
      <c r="F373" s="11"/>
      <c r="G373" s="11"/>
    </row>
    <row r="374">
      <c r="B374" s="11"/>
      <c r="C374" s="11"/>
      <c r="D374" s="11"/>
      <c r="E374" s="11"/>
      <c r="F374" s="11"/>
      <c r="G374" s="11"/>
    </row>
    <row r="375">
      <c r="B375" s="11"/>
      <c r="C375" s="11"/>
      <c r="D375" s="11"/>
      <c r="E375" s="11"/>
      <c r="F375" s="11"/>
      <c r="G375" s="11"/>
    </row>
    <row r="376">
      <c r="B376" s="11"/>
      <c r="C376" s="11"/>
      <c r="D376" s="11"/>
      <c r="E376" s="11"/>
      <c r="F376" s="11"/>
      <c r="G376" s="11"/>
    </row>
    <row r="377">
      <c r="B377" s="11"/>
      <c r="C377" s="11"/>
      <c r="D377" s="11"/>
      <c r="E377" s="11"/>
      <c r="F377" s="11"/>
      <c r="G377" s="11"/>
    </row>
    <row r="378">
      <c r="B378" s="11"/>
      <c r="C378" s="11"/>
      <c r="D378" s="11"/>
      <c r="E378" s="11"/>
      <c r="F378" s="11"/>
      <c r="G378" s="11"/>
    </row>
    <row r="379">
      <c r="B379" s="11"/>
      <c r="C379" s="11"/>
      <c r="D379" s="11"/>
      <c r="E379" s="11"/>
      <c r="F379" s="11"/>
      <c r="G379" s="11"/>
    </row>
    <row r="380">
      <c r="B380" s="11"/>
      <c r="C380" s="11"/>
      <c r="D380" s="11"/>
      <c r="E380" s="11"/>
      <c r="F380" s="11"/>
      <c r="G380" s="11"/>
    </row>
    <row r="381">
      <c r="B381" s="11"/>
      <c r="C381" s="11"/>
      <c r="D381" s="11"/>
      <c r="E381" s="11"/>
      <c r="F381" s="11"/>
      <c r="G381" s="11"/>
    </row>
    <row r="382">
      <c r="B382" s="11"/>
      <c r="C382" s="11"/>
      <c r="D382" s="11"/>
      <c r="E382" s="11"/>
      <c r="F382" s="11"/>
      <c r="G382" s="11"/>
    </row>
    <row r="383">
      <c r="B383" s="11"/>
      <c r="C383" s="11"/>
      <c r="D383" s="11"/>
      <c r="E383" s="11"/>
      <c r="F383" s="11"/>
      <c r="G383" s="11"/>
    </row>
    <row r="384">
      <c r="B384" s="11"/>
      <c r="C384" s="11"/>
      <c r="D384" s="11"/>
      <c r="E384" s="11"/>
      <c r="F384" s="11"/>
      <c r="G384" s="11"/>
    </row>
    <row r="385">
      <c r="B385" s="11"/>
      <c r="C385" s="11"/>
      <c r="D385" s="11"/>
      <c r="E385" s="11"/>
      <c r="F385" s="11"/>
      <c r="G385" s="11"/>
    </row>
    <row r="386">
      <c r="B386" s="11"/>
      <c r="C386" s="11"/>
      <c r="D386" s="11"/>
      <c r="E386" s="11"/>
      <c r="F386" s="11"/>
      <c r="G386" s="11"/>
    </row>
    <row r="387">
      <c r="B387" s="11"/>
      <c r="C387" s="11"/>
      <c r="D387" s="11"/>
      <c r="E387" s="11"/>
      <c r="F387" s="11"/>
      <c r="G387" s="11"/>
    </row>
    <row r="388">
      <c r="B388" s="11"/>
      <c r="C388" s="11"/>
      <c r="D388" s="11"/>
      <c r="E388" s="11"/>
      <c r="F388" s="11"/>
      <c r="G388" s="11"/>
    </row>
    <row r="389">
      <c r="B389" s="11"/>
      <c r="C389" s="11"/>
      <c r="D389" s="11"/>
      <c r="E389" s="11"/>
      <c r="F389" s="11"/>
      <c r="G389" s="11"/>
    </row>
    <row r="390">
      <c r="B390" s="11"/>
      <c r="C390" s="11"/>
      <c r="D390" s="11"/>
      <c r="E390" s="11"/>
      <c r="F390" s="11"/>
      <c r="G390" s="11"/>
    </row>
    <row r="391">
      <c r="B391" s="11"/>
      <c r="C391" s="11"/>
      <c r="D391" s="11"/>
      <c r="E391" s="11"/>
      <c r="F391" s="11"/>
      <c r="G391" s="11"/>
    </row>
    <row r="392">
      <c r="B392" s="11"/>
      <c r="C392" s="11"/>
      <c r="D392" s="11"/>
      <c r="E392" s="11"/>
      <c r="F392" s="11"/>
      <c r="G392" s="11"/>
    </row>
    <row r="393">
      <c r="B393" s="11"/>
      <c r="C393" s="11"/>
      <c r="D393" s="11"/>
      <c r="E393" s="11"/>
      <c r="F393" s="11"/>
      <c r="G393" s="11"/>
    </row>
    <row r="394">
      <c r="B394" s="11"/>
      <c r="C394" s="11"/>
      <c r="D394" s="11"/>
      <c r="E394" s="11"/>
      <c r="F394" s="11"/>
      <c r="G394" s="11"/>
    </row>
    <row r="395">
      <c r="B395" s="11"/>
      <c r="C395" s="11"/>
      <c r="D395" s="11"/>
      <c r="E395" s="11"/>
      <c r="F395" s="11"/>
      <c r="G395" s="11"/>
    </row>
    <row r="396">
      <c r="B396" s="11"/>
      <c r="C396" s="11"/>
      <c r="D396" s="11"/>
      <c r="E396" s="11"/>
      <c r="F396" s="11"/>
      <c r="G396" s="11"/>
    </row>
    <row r="397">
      <c r="B397" s="11"/>
      <c r="C397" s="11"/>
      <c r="D397" s="11"/>
      <c r="E397" s="11"/>
      <c r="F397" s="11"/>
      <c r="G397" s="11"/>
    </row>
    <row r="398">
      <c r="B398" s="11"/>
      <c r="C398" s="11"/>
      <c r="D398" s="11"/>
      <c r="E398" s="11"/>
      <c r="F398" s="11"/>
      <c r="G398" s="11"/>
    </row>
    <row r="399">
      <c r="B399" s="11"/>
      <c r="C399" s="11"/>
      <c r="D399" s="11"/>
      <c r="E399" s="11"/>
      <c r="F399" s="11"/>
      <c r="G399" s="11"/>
    </row>
    <row r="400">
      <c r="B400" s="11"/>
      <c r="C400" s="11"/>
      <c r="D400" s="11"/>
      <c r="E400" s="11"/>
      <c r="F400" s="11"/>
      <c r="G400" s="11"/>
    </row>
    <row r="401">
      <c r="B401" s="11"/>
      <c r="C401" s="11"/>
      <c r="D401" s="11"/>
      <c r="E401" s="11"/>
      <c r="F401" s="11"/>
      <c r="G401" s="11"/>
    </row>
    <row r="402">
      <c r="B402" s="11"/>
      <c r="C402" s="11"/>
      <c r="D402" s="11"/>
      <c r="E402" s="11"/>
      <c r="F402" s="11"/>
      <c r="G402" s="11"/>
    </row>
    <row r="403">
      <c r="B403" s="11"/>
      <c r="C403" s="11"/>
      <c r="D403" s="11"/>
      <c r="E403" s="11"/>
      <c r="F403" s="11"/>
      <c r="G403" s="11"/>
    </row>
    <row r="404">
      <c r="B404" s="11"/>
      <c r="C404" s="11"/>
      <c r="D404" s="11"/>
      <c r="E404" s="11"/>
      <c r="F404" s="11"/>
      <c r="G404" s="11"/>
    </row>
    <row r="405">
      <c r="B405" s="11"/>
      <c r="C405" s="11"/>
      <c r="D405" s="11"/>
      <c r="E405" s="11"/>
      <c r="F405" s="11"/>
      <c r="G405" s="11"/>
    </row>
    <row r="406">
      <c r="B406" s="11"/>
      <c r="C406" s="11"/>
      <c r="D406" s="11"/>
      <c r="E406" s="11"/>
      <c r="F406" s="11"/>
      <c r="G406" s="11"/>
    </row>
    <row r="407">
      <c r="B407" s="11"/>
      <c r="C407" s="11"/>
      <c r="D407" s="11"/>
      <c r="E407" s="11"/>
      <c r="F407" s="11"/>
      <c r="G407" s="11"/>
    </row>
    <row r="408">
      <c r="B408" s="11"/>
      <c r="C408" s="11"/>
      <c r="D408" s="11"/>
      <c r="E408" s="11"/>
      <c r="F408" s="11"/>
      <c r="G408" s="11"/>
    </row>
    <row r="409">
      <c r="B409" s="11"/>
      <c r="C409" s="11"/>
      <c r="D409" s="11"/>
      <c r="E409" s="11"/>
      <c r="F409" s="11"/>
      <c r="G409" s="11"/>
    </row>
    <row r="410">
      <c r="B410" s="11"/>
      <c r="C410" s="11"/>
      <c r="D410" s="11"/>
      <c r="E410" s="11"/>
      <c r="F410" s="11"/>
      <c r="G410" s="11"/>
    </row>
    <row r="411">
      <c r="B411" s="11"/>
      <c r="C411" s="11"/>
      <c r="D411" s="11"/>
      <c r="E411" s="11"/>
      <c r="F411" s="11"/>
      <c r="G411" s="11"/>
    </row>
    <row r="412">
      <c r="B412" s="11"/>
      <c r="C412" s="11"/>
      <c r="D412" s="11"/>
      <c r="E412" s="11"/>
      <c r="F412" s="11"/>
      <c r="G412" s="11"/>
    </row>
    <row r="413">
      <c r="B413" s="11"/>
      <c r="C413" s="11"/>
      <c r="D413" s="11"/>
      <c r="E413" s="11"/>
      <c r="F413" s="11"/>
      <c r="G413" s="11"/>
    </row>
    <row r="414">
      <c r="B414" s="11"/>
      <c r="C414" s="11"/>
      <c r="D414" s="11"/>
      <c r="E414" s="11"/>
      <c r="F414" s="11"/>
      <c r="G414" s="11"/>
    </row>
    <row r="415">
      <c r="B415" s="11"/>
      <c r="C415" s="11"/>
      <c r="D415" s="11"/>
      <c r="E415" s="11"/>
      <c r="F415" s="11"/>
      <c r="G415" s="11"/>
    </row>
    <row r="416">
      <c r="B416" s="11"/>
      <c r="C416" s="11"/>
      <c r="D416" s="11"/>
      <c r="E416" s="11"/>
      <c r="F416" s="11"/>
      <c r="G416" s="11"/>
    </row>
    <row r="417">
      <c r="B417" s="11"/>
      <c r="C417" s="11"/>
      <c r="D417" s="11"/>
      <c r="E417" s="11"/>
      <c r="F417" s="11"/>
      <c r="G417" s="11"/>
    </row>
    <row r="418">
      <c r="B418" s="11"/>
      <c r="C418" s="11"/>
      <c r="D418" s="11"/>
      <c r="E418" s="11"/>
      <c r="F418" s="11"/>
      <c r="G418" s="11"/>
    </row>
    <row r="419">
      <c r="B419" s="11"/>
      <c r="C419" s="11"/>
      <c r="D419" s="11"/>
      <c r="E419" s="11"/>
      <c r="F419" s="11"/>
      <c r="G419" s="11"/>
    </row>
    <row r="420">
      <c r="B420" s="11"/>
      <c r="C420" s="11"/>
      <c r="D420" s="11"/>
      <c r="E420" s="11"/>
      <c r="F420" s="11"/>
      <c r="G420" s="11"/>
    </row>
    <row r="421">
      <c r="B421" s="11"/>
      <c r="C421" s="11"/>
      <c r="D421" s="11"/>
      <c r="E421" s="11"/>
      <c r="F421" s="11"/>
      <c r="G421" s="11"/>
    </row>
    <row r="422">
      <c r="B422" s="11"/>
      <c r="C422" s="11"/>
      <c r="D422" s="11"/>
      <c r="E422" s="11"/>
      <c r="F422" s="11"/>
      <c r="G422" s="11"/>
    </row>
    <row r="423">
      <c r="B423" s="11"/>
      <c r="C423" s="11"/>
      <c r="D423" s="11"/>
      <c r="E423" s="11"/>
      <c r="F423" s="11"/>
      <c r="G423" s="11"/>
    </row>
    <row r="424">
      <c r="B424" s="11"/>
      <c r="C424" s="11"/>
      <c r="D424" s="11"/>
      <c r="E424" s="11"/>
      <c r="F424" s="11"/>
      <c r="G424" s="11"/>
    </row>
    <row r="425">
      <c r="B425" s="11"/>
      <c r="C425" s="11"/>
      <c r="D425" s="11"/>
      <c r="E425" s="11"/>
      <c r="F425" s="11"/>
      <c r="G425" s="11"/>
    </row>
    <row r="426">
      <c r="B426" s="11"/>
      <c r="C426" s="11"/>
      <c r="D426" s="11"/>
      <c r="E426" s="11"/>
      <c r="F426" s="11"/>
      <c r="G426" s="11"/>
    </row>
    <row r="427">
      <c r="B427" s="11"/>
      <c r="C427" s="11"/>
      <c r="D427" s="11"/>
      <c r="E427" s="11"/>
      <c r="F427" s="11"/>
      <c r="G427" s="11"/>
    </row>
    <row r="428">
      <c r="B428" s="11"/>
      <c r="C428" s="11"/>
      <c r="D428" s="11"/>
      <c r="E428" s="11"/>
      <c r="F428" s="11"/>
      <c r="G428" s="11"/>
    </row>
    <row r="429">
      <c r="B429" s="11"/>
      <c r="C429" s="11"/>
      <c r="D429" s="11"/>
      <c r="E429" s="11"/>
      <c r="F429" s="11"/>
      <c r="G429" s="11"/>
    </row>
    <row r="430">
      <c r="B430" s="11"/>
      <c r="C430" s="11"/>
      <c r="D430" s="11"/>
      <c r="E430" s="11"/>
      <c r="F430" s="11"/>
      <c r="G430" s="11"/>
    </row>
    <row r="431">
      <c r="B431" s="11"/>
      <c r="C431" s="11"/>
      <c r="D431" s="11"/>
      <c r="E431" s="11"/>
      <c r="F431" s="11"/>
      <c r="G431" s="11"/>
    </row>
    <row r="432">
      <c r="B432" s="11"/>
      <c r="C432" s="11"/>
      <c r="D432" s="11"/>
      <c r="E432" s="11"/>
      <c r="F432" s="11"/>
      <c r="G432" s="11"/>
    </row>
    <row r="433">
      <c r="B433" s="11"/>
      <c r="C433" s="11"/>
      <c r="D433" s="11"/>
      <c r="E433" s="11"/>
      <c r="F433" s="11"/>
      <c r="G433" s="11"/>
    </row>
    <row r="434">
      <c r="B434" s="11"/>
      <c r="C434" s="11"/>
      <c r="D434" s="11"/>
      <c r="E434" s="11"/>
      <c r="F434" s="11"/>
      <c r="G434" s="11"/>
    </row>
    <row r="435">
      <c r="B435" s="11"/>
      <c r="C435" s="11"/>
      <c r="D435" s="11"/>
      <c r="E435" s="11"/>
      <c r="F435" s="11"/>
      <c r="G435" s="11"/>
    </row>
    <row r="436">
      <c r="B436" s="11"/>
      <c r="C436" s="11"/>
      <c r="D436" s="11"/>
      <c r="E436" s="11"/>
      <c r="F436" s="11"/>
      <c r="G436" s="11"/>
    </row>
    <row r="437">
      <c r="B437" s="11"/>
      <c r="C437" s="11"/>
      <c r="D437" s="11"/>
      <c r="E437" s="11"/>
      <c r="F437" s="11"/>
      <c r="G437" s="11"/>
    </row>
    <row r="438">
      <c r="B438" s="11"/>
      <c r="C438" s="11"/>
      <c r="D438" s="11"/>
      <c r="E438" s="11"/>
      <c r="F438" s="11"/>
      <c r="G438" s="11"/>
    </row>
    <row r="439">
      <c r="B439" s="11"/>
      <c r="C439" s="11"/>
      <c r="D439" s="11"/>
      <c r="E439" s="11"/>
      <c r="F439" s="11"/>
      <c r="G439" s="11"/>
    </row>
    <row r="440">
      <c r="B440" s="11"/>
      <c r="C440" s="11"/>
      <c r="D440" s="11"/>
      <c r="E440" s="11"/>
      <c r="F440" s="11"/>
      <c r="G440" s="11"/>
    </row>
    <row r="441">
      <c r="B441" s="11"/>
      <c r="C441" s="11"/>
      <c r="D441" s="11"/>
      <c r="E441" s="11"/>
      <c r="F441" s="11"/>
      <c r="G441" s="11"/>
    </row>
    <row r="442">
      <c r="B442" s="11"/>
      <c r="C442" s="11"/>
      <c r="D442" s="11"/>
      <c r="E442" s="11"/>
      <c r="F442" s="11"/>
      <c r="G442" s="11"/>
    </row>
    <row r="443">
      <c r="B443" s="11"/>
      <c r="C443" s="11"/>
      <c r="D443" s="11"/>
      <c r="E443" s="11"/>
      <c r="F443" s="11"/>
      <c r="G443" s="11"/>
    </row>
    <row r="444">
      <c r="B444" s="11"/>
      <c r="C444" s="11"/>
      <c r="D444" s="11"/>
      <c r="E444" s="11"/>
      <c r="F444" s="11"/>
      <c r="G444" s="11"/>
    </row>
    <row r="445">
      <c r="B445" s="11"/>
      <c r="C445" s="11"/>
      <c r="D445" s="11"/>
      <c r="E445" s="11"/>
      <c r="F445" s="11"/>
      <c r="G445" s="11"/>
    </row>
    <row r="446">
      <c r="B446" s="11"/>
      <c r="C446" s="11"/>
      <c r="D446" s="11"/>
      <c r="E446" s="11"/>
      <c r="F446" s="11"/>
      <c r="G446" s="11"/>
    </row>
    <row r="447">
      <c r="B447" s="11"/>
      <c r="C447" s="11"/>
      <c r="D447" s="11"/>
      <c r="E447" s="11"/>
      <c r="F447" s="11"/>
      <c r="G447" s="11"/>
    </row>
    <row r="448">
      <c r="B448" s="11"/>
      <c r="C448" s="11"/>
      <c r="D448" s="11"/>
      <c r="E448" s="11"/>
      <c r="F448" s="11"/>
      <c r="G448" s="11"/>
    </row>
    <row r="449">
      <c r="B449" s="11"/>
      <c r="C449" s="11"/>
      <c r="D449" s="11"/>
      <c r="E449" s="11"/>
      <c r="F449" s="11"/>
      <c r="G449" s="11"/>
    </row>
    <row r="450">
      <c r="B450" s="11"/>
      <c r="C450" s="11"/>
      <c r="D450" s="11"/>
      <c r="E450" s="11"/>
      <c r="F450" s="11"/>
      <c r="G450" s="11"/>
    </row>
    <row r="451">
      <c r="B451" s="11"/>
      <c r="C451" s="11"/>
      <c r="D451" s="11"/>
      <c r="E451" s="11"/>
      <c r="F451" s="11"/>
      <c r="G451" s="11"/>
    </row>
    <row r="452">
      <c r="B452" s="11"/>
      <c r="C452" s="11"/>
      <c r="D452" s="11"/>
      <c r="E452" s="11"/>
      <c r="F452" s="11"/>
      <c r="G452" s="11"/>
    </row>
    <row r="453">
      <c r="B453" s="11"/>
      <c r="C453" s="11"/>
      <c r="D453" s="11"/>
      <c r="E453" s="11"/>
      <c r="F453" s="11"/>
      <c r="G453" s="11"/>
    </row>
    <row r="454">
      <c r="B454" s="11"/>
      <c r="C454" s="11"/>
      <c r="D454" s="11"/>
      <c r="E454" s="11"/>
      <c r="F454" s="11"/>
      <c r="G454" s="11"/>
    </row>
    <row r="455">
      <c r="B455" s="11"/>
      <c r="C455" s="11"/>
      <c r="D455" s="11"/>
      <c r="E455" s="11"/>
      <c r="F455" s="11"/>
      <c r="G455" s="11"/>
    </row>
    <row r="456">
      <c r="B456" s="11"/>
      <c r="C456" s="11"/>
      <c r="D456" s="11"/>
      <c r="E456" s="11"/>
      <c r="F456" s="11"/>
      <c r="G456" s="11"/>
    </row>
    <row r="457">
      <c r="B457" s="11"/>
      <c r="C457" s="11"/>
      <c r="D457" s="11"/>
      <c r="E457" s="11"/>
      <c r="F457" s="11"/>
      <c r="G457" s="11"/>
    </row>
    <row r="458">
      <c r="B458" s="11"/>
      <c r="C458" s="11"/>
      <c r="D458" s="11"/>
      <c r="E458" s="11"/>
      <c r="F458" s="11"/>
      <c r="G458" s="11"/>
    </row>
    <row r="459">
      <c r="B459" s="11"/>
      <c r="C459" s="11"/>
      <c r="D459" s="11"/>
      <c r="E459" s="11"/>
      <c r="F459" s="11"/>
      <c r="G459" s="11"/>
    </row>
    <row r="460">
      <c r="B460" s="11"/>
      <c r="C460" s="11"/>
      <c r="D460" s="11"/>
      <c r="E460" s="11"/>
      <c r="F460" s="11"/>
      <c r="G460" s="11"/>
    </row>
    <row r="461">
      <c r="B461" s="11"/>
      <c r="C461" s="11"/>
      <c r="D461" s="11"/>
      <c r="E461" s="11"/>
      <c r="F461" s="11"/>
      <c r="G461" s="11"/>
    </row>
    <row r="462">
      <c r="B462" s="11"/>
      <c r="C462" s="11"/>
      <c r="D462" s="11"/>
      <c r="E462" s="11"/>
      <c r="F462" s="11"/>
      <c r="G462" s="11"/>
    </row>
    <row r="463">
      <c r="B463" s="11"/>
      <c r="C463" s="11"/>
      <c r="D463" s="11"/>
      <c r="E463" s="11"/>
      <c r="F463" s="11"/>
      <c r="G463" s="11"/>
    </row>
    <row r="464">
      <c r="B464" s="11"/>
      <c r="C464" s="11"/>
      <c r="D464" s="11"/>
      <c r="E464" s="11"/>
      <c r="F464" s="11"/>
      <c r="G464" s="11"/>
    </row>
    <row r="465">
      <c r="B465" s="11"/>
      <c r="C465" s="11"/>
      <c r="D465" s="11"/>
      <c r="E465" s="11"/>
      <c r="F465" s="11"/>
      <c r="G465" s="11"/>
    </row>
    <row r="466">
      <c r="B466" s="11"/>
      <c r="C466" s="11"/>
      <c r="D466" s="11"/>
      <c r="E466" s="11"/>
      <c r="F466" s="11"/>
      <c r="G466" s="11"/>
    </row>
    <row r="467">
      <c r="B467" s="11"/>
      <c r="C467" s="11"/>
      <c r="D467" s="11"/>
      <c r="E467" s="11"/>
      <c r="F467" s="11"/>
      <c r="G467" s="11"/>
    </row>
    <row r="468">
      <c r="B468" s="11"/>
      <c r="C468" s="11"/>
      <c r="D468" s="11"/>
      <c r="E468" s="11"/>
      <c r="F468" s="11"/>
      <c r="G468" s="11"/>
    </row>
    <row r="469">
      <c r="B469" s="11"/>
      <c r="C469" s="11"/>
      <c r="D469" s="11"/>
      <c r="E469" s="11"/>
      <c r="F469" s="11"/>
      <c r="G469" s="11"/>
    </row>
    <row r="470">
      <c r="B470" s="11"/>
      <c r="C470" s="11"/>
      <c r="D470" s="11"/>
      <c r="E470" s="11"/>
      <c r="F470" s="11"/>
      <c r="G470" s="11"/>
    </row>
    <row r="471">
      <c r="B471" s="11"/>
      <c r="C471" s="11"/>
      <c r="D471" s="11"/>
      <c r="E471" s="11"/>
      <c r="F471" s="11"/>
      <c r="G471" s="11"/>
    </row>
    <row r="472">
      <c r="B472" s="11"/>
      <c r="C472" s="11"/>
      <c r="D472" s="11"/>
      <c r="E472" s="11"/>
      <c r="F472" s="11"/>
      <c r="G472" s="11"/>
    </row>
    <row r="473">
      <c r="B473" s="11"/>
      <c r="C473" s="11"/>
      <c r="D473" s="11"/>
      <c r="E473" s="11"/>
      <c r="F473" s="11"/>
      <c r="G473" s="11"/>
    </row>
    <row r="474">
      <c r="B474" s="11"/>
      <c r="C474" s="11"/>
      <c r="D474" s="11"/>
      <c r="E474" s="11"/>
      <c r="F474" s="11"/>
      <c r="G474" s="11"/>
    </row>
    <row r="475">
      <c r="B475" s="11"/>
      <c r="C475" s="11"/>
      <c r="D475" s="11"/>
      <c r="E475" s="11"/>
      <c r="F475" s="11"/>
      <c r="G475" s="11"/>
    </row>
    <row r="476">
      <c r="B476" s="11"/>
      <c r="C476" s="11"/>
      <c r="D476" s="11"/>
      <c r="E476" s="11"/>
      <c r="F476" s="11"/>
      <c r="G476" s="11"/>
    </row>
    <row r="477">
      <c r="B477" s="11"/>
      <c r="C477" s="11"/>
      <c r="D477" s="11"/>
      <c r="E477" s="11"/>
      <c r="F477" s="11"/>
      <c r="G477" s="11"/>
    </row>
    <row r="478">
      <c r="B478" s="11"/>
      <c r="C478" s="11"/>
      <c r="D478" s="11"/>
      <c r="E478" s="11"/>
      <c r="F478" s="11"/>
      <c r="G478" s="11"/>
    </row>
    <row r="479">
      <c r="B479" s="11"/>
      <c r="C479" s="11"/>
      <c r="D479" s="11"/>
      <c r="E479" s="11"/>
      <c r="F479" s="11"/>
      <c r="G479" s="11"/>
    </row>
    <row r="480">
      <c r="B480" s="11"/>
      <c r="C480" s="11"/>
      <c r="D480" s="11"/>
      <c r="E480" s="11"/>
      <c r="F480" s="11"/>
      <c r="G480" s="11"/>
    </row>
    <row r="481">
      <c r="B481" s="11"/>
      <c r="C481" s="11"/>
      <c r="D481" s="11"/>
      <c r="E481" s="11"/>
      <c r="F481" s="11"/>
      <c r="G481" s="11"/>
    </row>
    <row r="482">
      <c r="B482" s="11"/>
      <c r="C482" s="11"/>
      <c r="D482" s="11"/>
      <c r="E482" s="11"/>
      <c r="F482" s="11"/>
      <c r="G482" s="11"/>
    </row>
    <row r="483">
      <c r="B483" s="11"/>
      <c r="C483" s="11"/>
      <c r="D483" s="11"/>
      <c r="E483" s="11"/>
      <c r="F483" s="11"/>
      <c r="G483" s="11"/>
    </row>
    <row r="484">
      <c r="B484" s="11"/>
      <c r="C484" s="11"/>
      <c r="D484" s="11"/>
      <c r="E484" s="11"/>
      <c r="F484" s="11"/>
      <c r="G484" s="11"/>
    </row>
    <row r="485">
      <c r="B485" s="11"/>
      <c r="C485" s="11"/>
      <c r="D485" s="11"/>
      <c r="E485" s="11"/>
      <c r="F485" s="11"/>
      <c r="G485" s="11"/>
    </row>
    <row r="486">
      <c r="B486" s="11"/>
      <c r="C486" s="11"/>
      <c r="D486" s="11"/>
      <c r="E486" s="11"/>
      <c r="F486" s="11"/>
      <c r="G486" s="11"/>
    </row>
    <row r="487">
      <c r="B487" s="11"/>
      <c r="C487" s="11"/>
      <c r="D487" s="11"/>
      <c r="E487" s="11"/>
      <c r="F487" s="11"/>
      <c r="G487" s="11"/>
    </row>
    <row r="488">
      <c r="B488" s="11"/>
      <c r="C488" s="11"/>
      <c r="D488" s="11"/>
      <c r="E488" s="11"/>
      <c r="F488" s="11"/>
      <c r="G488" s="11"/>
    </row>
    <row r="489">
      <c r="B489" s="11"/>
      <c r="C489" s="11"/>
      <c r="D489" s="11"/>
      <c r="E489" s="11"/>
      <c r="F489" s="11"/>
      <c r="G489" s="11"/>
    </row>
    <row r="490">
      <c r="B490" s="11"/>
      <c r="C490" s="11"/>
      <c r="D490" s="11"/>
      <c r="E490" s="11"/>
      <c r="F490" s="11"/>
      <c r="G490" s="11"/>
    </row>
    <row r="491">
      <c r="B491" s="11"/>
      <c r="C491" s="11"/>
      <c r="D491" s="11"/>
      <c r="E491" s="11"/>
      <c r="F491" s="11"/>
      <c r="G491" s="11"/>
    </row>
    <row r="492">
      <c r="B492" s="11"/>
      <c r="C492" s="11"/>
      <c r="D492" s="11"/>
      <c r="E492" s="11"/>
      <c r="F492" s="11"/>
      <c r="G492" s="11"/>
    </row>
    <row r="493">
      <c r="B493" s="11"/>
      <c r="C493" s="11"/>
      <c r="D493" s="11"/>
      <c r="E493" s="11"/>
      <c r="F493" s="11"/>
      <c r="G493" s="11"/>
    </row>
    <row r="494">
      <c r="B494" s="11"/>
      <c r="C494" s="11"/>
      <c r="D494" s="11"/>
      <c r="E494" s="11"/>
      <c r="F494" s="11"/>
      <c r="G494" s="11"/>
    </row>
    <row r="495">
      <c r="B495" s="11"/>
      <c r="C495" s="11"/>
      <c r="D495" s="11"/>
      <c r="E495" s="11"/>
      <c r="F495" s="11"/>
      <c r="G495" s="11"/>
    </row>
    <row r="496">
      <c r="B496" s="11"/>
      <c r="C496" s="11"/>
      <c r="D496" s="11"/>
      <c r="E496" s="11"/>
      <c r="F496" s="11"/>
      <c r="G496" s="11"/>
    </row>
    <row r="497">
      <c r="B497" s="11"/>
      <c r="C497" s="11"/>
      <c r="D497" s="11"/>
      <c r="E497" s="11"/>
      <c r="F497" s="11"/>
      <c r="G497" s="11"/>
    </row>
    <row r="498">
      <c r="B498" s="11"/>
      <c r="C498" s="11"/>
      <c r="D498" s="11"/>
      <c r="E498" s="11"/>
      <c r="F498" s="11"/>
      <c r="G498" s="11"/>
    </row>
    <row r="499">
      <c r="B499" s="11"/>
      <c r="C499" s="11"/>
      <c r="D499" s="11"/>
      <c r="E499" s="11"/>
      <c r="F499" s="11"/>
      <c r="G499" s="11"/>
    </row>
    <row r="500">
      <c r="B500" s="11"/>
      <c r="C500" s="11"/>
      <c r="D500" s="11"/>
      <c r="E500" s="11"/>
      <c r="F500" s="11"/>
      <c r="G500" s="11"/>
    </row>
    <row r="501">
      <c r="B501" s="11"/>
      <c r="C501" s="11"/>
      <c r="D501" s="11"/>
      <c r="E501" s="11"/>
      <c r="F501" s="11"/>
      <c r="G501" s="11"/>
    </row>
    <row r="502">
      <c r="B502" s="11"/>
      <c r="C502" s="11"/>
      <c r="D502" s="11"/>
      <c r="E502" s="11"/>
      <c r="F502" s="11"/>
      <c r="G502" s="11"/>
    </row>
    <row r="503">
      <c r="B503" s="11"/>
      <c r="C503" s="11"/>
      <c r="D503" s="11"/>
      <c r="E503" s="11"/>
      <c r="F503" s="11"/>
      <c r="G503" s="11"/>
    </row>
    <row r="504">
      <c r="B504" s="11"/>
      <c r="C504" s="11"/>
      <c r="D504" s="11"/>
      <c r="E504" s="11"/>
      <c r="F504" s="11"/>
      <c r="G504" s="11"/>
    </row>
    <row r="505">
      <c r="B505" s="11"/>
      <c r="C505" s="11"/>
      <c r="D505" s="11"/>
      <c r="E505" s="11"/>
      <c r="F505" s="11"/>
      <c r="G505" s="11"/>
    </row>
    <row r="506">
      <c r="B506" s="11"/>
      <c r="C506" s="11"/>
      <c r="D506" s="11"/>
      <c r="E506" s="11"/>
      <c r="F506" s="11"/>
      <c r="G506" s="11"/>
    </row>
    <row r="507">
      <c r="B507" s="11"/>
      <c r="C507" s="11"/>
      <c r="D507" s="11"/>
      <c r="E507" s="11"/>
      <c r="F507" s="11"/>
      <c r="G507" s="11"/>
    </row>
    <row r="508">
      <c r="B508" s="11"/>
      <c r="C508" s="11"/>
      <c r="D508" s="11"/>
      <c r="E508" s="11"/>
      <c r="F508" s="11"/>
      <c r="G508" s="11"/>
    </row>
    <row r="509">
      <c r="B509" s="11"/>
      <c r="C509" s="11"/>
      <c r="D509" s="11"/>
      <c r="E509" s="11"/>
      <c r="F509" s="11"/>
      <c r="G509" s="11"/>
    </row>
    <row r="510">
      <c r="B510" s="11"/>
      <c r="C510" s="11"/>
      <c r="D510" s="11"/>
      <c r="E510" s="11"/>
      <c r="F510" s="11"/>
      <c r="G510" s="11"/>
    </row>
    <row r="511">
      <c r="B511" s="11"/>
      <c r="C511" s="11"/>
      <c r="D511" s="11"/>
      <c r="E511" s="11"/>
      <c r="F511" s="11"/>
      <c r="G511" s="11"/>
    </row>
    <row r="512">
      <c r="B512" s="11"/>
      <c r="C512" s="11"/>
      <c r="D512" s="11"/>
      <c r="E512" s="11"/>
      <c r="F512" s="11"/>
      <c r="G512" s="11"/>
    </row>
    <row r="513">
      <c r="B513" s="11"/>
      <c r="C513" s="11"/>
      <c r="D513" s="11"/>
      <c r="E513" s="11"/>
      <c r="F513" s="11"/>
      <c r="G513" s="11"/>
    </row>
    <row r="514">
      <c r="B514" s="11"/>
      <c r="C514" s="11"/>
      <c r="D514" s="11"/>
      <c r="E514" s="11"/>
      <c r="F514" s="11"/>
      <c r="G514" s="11"/>
    </row>
    <row r="515">
      <c r="B515" s="11"/>
      <c r="C515" s="11"/>
      <c r="D515" s="11"/>
      <c r="E515" s="11"/>
      <c r="F515" s="11"/>
      <c r="G515" s="11"/>
    </row>
    <row r="516">
      <c r="B516" s="11"/>
      <c r="C516" s="11"/>
      <c r="D516" s="11"/>
      <c r="E516" s="11"/>
      <c r="F516" s="11"/>
      <c r="G516" s="11"/>
    </row>
    <row r="517">
      <c r="B517" s="11"/>
      <c r="C517" s="11"/>
      <c r="D517" s="11"/>
      <c r="E517" s="11"/>
      <c r="F517" s="11"/>
      <c r="G517" s="11"/>
    </row>
    <row r="518">
      <c r="B518" s="11"/>
      <c r="C518" s="11"/>
      <c r="D518" s="11"/>
      <c r="E518" s="11"/>
      <c r="F518" s="11"/>
      <c r="G518" s="11"/>
    </row>
    <row r="519">
      <c r="B519" s="11"/>
      <c r="C519" s="11"/>
      <c r="D519" s="11"/>
      <c r="E519" s="11"/>
      <c r="F519" s="11"/>
      <c r="G519" s="11"/>
    </row>
    <row r="520">
      <c r="B520" s="11"/>
      <c r="C520" s="11"/>
      <c r="D520" s="11"/>
      <c r="E520" s="11"/>
      <c r="F520" s="11"/>
      <c r="G520" s="11"/>
    </row>
    <row r="521">
      <c r="B521" s="11"/>
      <c r="C521" s="11"/>
      <c r="D521" s="11"/>
      <c r="E521" s="11"/>
      <c r="F521" s="11"/>
      <c r="G521" s="11"/>
    </row>
    <row r="522">
      <c r="B522" s="11"/>
      <c r="C522" s="11"/>
      <c r="D522" s="11"/>
      <c r="E522" s="11"/>
      <c r="F522" s="11"/>
      <c r="G522" s="11"/>
    </row>
    <row r="523">
      <c r="B523" s="11"/>
      <c r="C523" s="11"/>
      <c r="D523" s="11"/>
      <c r="E523" s="11"/>
      <c r="F523" s="11"/>
      <c r="G523" s="11"/>
    </row>
    <row r="524">
      <c r="B524" s="11"/>
      <c r="C524" s="11"/>
      <c r="D524" s="11"/>
      <c r="E524" s="11"/>
      <c r="F524" s="11"/>
      <c r="G524" s="11"/>
    </row>
    <row r="525">
      <c r="B525" s="11"/>
      <c r="C525" s="11"/>
      <c r="D525" s="11"/>
      <c r="E525" s="11"/>
      <c r="F525" s="11"/>
      <c r="G525" s="11"/>
    </row>
    <row r="526">
      <c r="B526" s="11"/>
      <c r="C526" s="11"/>
      <c r="D526" s="11"/>
      <c r="E526" s="11"/>
      <c r="F526" s="11"/>
      <c r="G526" s="11"/>
    </row>
    <row r="527">
      <c r="B527" s="11"/>
      <c r="C527" s="11"/>
      <c r="D527" s="11"/>
      <c r="E527" s="11"/>
      <c r="F527" s="11"/>
      <c r="G527" s="11"/>
    </row>
    <row r="528">
      <c r="B528" s="11"/>
      <c r="C528" s="11"/>
      <c r="D528" s="11"/>
      <c r="E528" s="11"/>
      <c r="F528" s="11"/>
      <c r="G528" s="11"/>
    </row>
    <row r="529">
      <c r="B529" s="11"/>
      <c r="C529" s="11"/>
      <c r="D529" s="11"/>
      <c r="E529" s="11"/>
      <c r="F529" s="11"/>
      <c r="G529" s="11"/>
    </row>
    <row r="530">
      <c r="B530" s="11"/>
      <c r="C530" s="11"/>
      <c r="D530" s="11"/>
      <c r="E530" s="11"/>
      <c r="F530" s="11"/>
      <c r="G530" s="11"/>
    </row>
    <row r="531">
      <c r="B531" s="11"/>
      <c r="C531" s="11"/>
      <c r="D531" s="11"/>
      <c r="E531" s="11"/>
      <c r="F531" s="11"/>
      <c r="G531" s="11"/>
    </row>
    <row r="532">
      <c r="B532" s="11"/>
      <c r="C532" s="11"/>
      <c r="D532" s="11"/>
      <c r="E532" s="11"/>
      <c r="F532" s="11"/>
      <c r="G532" s="11"/>
    </row>
    <row r="533">
      <c r="B533" s="11"/>
      <c r="C533" s="11"/>
      <c r="D533" s="11"/>
      <c r="E533" s="11"/>
      <c r="F533" s="11"/>
      <c r="G533" s="11"/>
    </row>
    <row r="534">
      <c r="B534" s="11"/>
      <c r="C534" s="11"/>
      <c r="D534" s="11"/>
      <c r="E534" s="11"/>
      <c r="F534" s="11"/>
      <c r="G534" s="11"/>
    </row>
    <row r="535">
      <c r="B535" s="11"/>
      <c r="C535" s="11"/>
      <c r="D535" s="11"/>
      <c r="E535" s="11"/>
      <c r="F535" s="11"/>
      <c r="G535" s="11"/>
    </row>
    <row r="536">
      <c r="B536" s="11"/>
      <c r="C536" s="11"/>
      <c r="D536" s="11"/>
      <c r="E536" s="11"/>
      <c r="F536" s="11"/>
      <c r="G536" s="11"/>
    </row>
    <row r="537">
      <c r="B537" s="11"/>
      <c r="C537" s="11"/>
      <c r="D537" s="11"/>
      <c r="E537" s="11"/>
      <c r="F537" s="11"/>
      <c r="G537" s="11"/>
    </row>
    <row r="538">
      <c r="B538" s="11"/>
      <c r="C538" s="11"/>
      <c r="D538" s="11"/>
      <c r="E538" s="11"/>
      <c r="F538" s="11"/>
      <c r="G538" s="11"/>
    </row>
    <row r="539">
      <c r="B539" s="11"/>
      <c r="C539" s="11"/>
      <c r="D539" s="11"/>
      <c r="E539" s="11"/>
      <c r="F539" s="11"/>
      <c r="G539" s="11"/>
    </row>
    <row r="540">
      <c r="B540" s="11"/>
      <c r="C540" s="11"/>
      <c r="D540" s="11"/>
      <c r="E540" s="11"/>
      <c r="F540" s="11"/>
      <c r="G540" s="11"/>
    </row>
    <row r="541">
      <c r="B541" s="11"/>
      <c r="C541" s="11"/>
      <c r="D541" s="11"/>
      <c r="E541" s="11"/>
      <c r="F541" s="11"/>
      <c r="G541" s="11"/>
    </row>
    <row r="542">
      <c r="B542" s="11"/>
      <c r="C542" s="11"/>
      <c r="D542" s="11"/>
      <c r="E542" s="11"/>
      <c r="F542" s="11"/>
      <c r="G542" s="11"/>
    </row>
    <row r="543">
      <c r="B543" s="11"/>
      <c r="C543" s="11"/>
      <c r="D543" s="11"/>
      <c r="E543" s="11"/>
      <c r="F543" s="11"/>
      <c r="G543" s="11"/>
    </row>
    <row r="544">
      <c r="B544" s="11"/>
      <c r="C544" s="11"/>
      <c r="D544" s="11"/>
      <c r="E544" s="11"/>
      <c r="F544" s="11"/>
      <c r="G544" s="11"/>
    </row>
    <row r="545">
      <c r="B545" s="11"/>
      <c r="C545" s="11"/>
      <c r="D545" s="11"/>
      <c r="E545" s="11"/>
      <c r="F545" s="11"/>
      <c r="G545" s="11"/>
    </row>
    <row r="546">
      <c r="B546" s="11"/>
      <c r="C546" s="11"/>
      <c r="D546" s="11"/>
      <c r="E546" s="11"/>
      <c r="F546" s="11"/>
      <c r="G546" s="11"/>
    </row>
    <row r="547">
      <c r="B547" s="11"/>
      <c r="C547" s="11"/>
      <c r="D547" s="11"/>
      <c r="E547" s="11"/>
      <c r="F547" s="11"/>
      <c r="G547" s="11"/>
    </row>
    <row r="548">
      <c r="B548" s="11"/>
      <c r="C548" s="11"/>
      <c r="D548" s="11"/>
      <c r="E548" s="11"/>
      <c r="F548" s="11"/>
      <c r="G548" s="11"/>
    </row>
    <row r="549">
      <c r="B549" s="11"/>
      <c r="C549" s="11"/>
      <c r="D549" s="11"/>
      <c r="E549" s="11"/>
      <c r="F549" s="11"/>
      <c r="G549" s="11"/>
    </row>
    <row r="550">
      <c r="B550" s="11"/>
      <c r="C550" s="11"/>
      <c r="D550" s="11"/>
      <c r="E550" s="11"/>
      <c r="F550" s="11"/>
      <c r="G550" s="11"/>
    </row>
    <row r="551">
      <c r="B551" s="11"/>
      <c r="C551" s="11"/>
      <c r="D551" s="11"/>
      <c r="E551" s="11"/>
      <c r="F551" s="11"/>
      <c r="G551" s="11"/>
    </row>
    <row r="552">
      <c r="B552" s="11"/>
      <c r="C552" s="11"/>
      <c r="D552" s="11"/>
      <c r="E552" s="11"/>
      <c r="F552" s="11"/>
      <c r="G552" s="11"/>
    </row>
    <row r="553">
      <c r="B553" s="11"/>
      <c r="C553" s="11"/>
      <c r="D553" s="11"/>
      <c r="E553" s="11"/>
      <c r="F553" s="11"/>
      <c r="G553" s="11"/>
    </row>
    <row r="554">
      <c r="B554" s="11"/>
      <c r="C554" s="11"/>
      <c r="D554" s="11"/>
      <c r="E554" s="11"/>
      <c r="F554" s="11"/>
      <c r="G554" s="11"/>
    </row>
    <row r="555">
      <c r="B555" s="11"/>
      <c r="C555" s="11"/>
      <c r="D555" s="11"/>
      <c r="E555" s="11"/>
      <c r="F555" s="11"/>
      <c r="G555" s="11"/>
    </row>
    <row r="556">
      <c r="B556" s="11"/>
      <c r="C556" s="11"/>
      <c r="D556" s="11"/>
      <c r="E556" s="11"/>
      <c r="F556" s="11"/>
      <c r="G556" s="11"/>
    </row>
    <row r="557">
      <c r="B557" s="11"/>
      <c r="C557" s="11"/>
      <c r="D557" s="11"/>
      <c r="E557" s="11"/>
      <c r="F557" s="11"/>
      <c r="G557" s="11"/>
    </row>
    <row r="558">
      <c r="B558" s="11"/>
      <c r="C558" s="11"/>
      <c r="D558" s="11"/>
      <c r="E558" s="11"/>
      <c r="F558" s="11"/>
      <c r="G558" s="11"/>
    </row>
    <row r="559">
      <c r="B559" s="11"/>
      <c r="C559" s="11"/>
      <c r="D559" s="11"/>
      <c r="E559" s="11"/>
      <c r="F559" s="11"/>
      <c r="G559" s="11"/>
    </row>
    <row r="560">
      <c r="B560" s="11"/>
      <c r="C560" s="11"/>
      <c r="D560" s="11"/>
      <c r="E560" s="11"/>
      <c r="F560" s="11"/>
      <c r="G560" s="11"/>
    </row>
    <row r="561">
      <c r="B561" s="11"/>
      <c r="C561" s="11"/>
      <c r="D561" s="11"/>
      <c r="E561" s="11"/>
      <c r="F561" s="11"/>
      <c r="G561" s="11"/>
    </row>
    <row r="562">
      <c r="B562" s="11"/>
      <c r="C562" s="11"/>
      <c r="D562" s="11"/>
      <c r="E562" s="11"/>
      <c r="F562" s="11"/>
      <c r="G562" s="11"/>
    </row>
    <row r="563">
      <c r="B563" s="11"/>
      <c r="C563" s="11"/>
      <c r="D563" s="11"/>
      <c r="E563" s="11"/>
      <c r="F563" s="11"/>
      <c r="G563" s="11"/>
    </row>
    <row r="564">
      <c r="B564" s="11"/>
      <c r="C564" s="11"/>
      <c r="D564" s="11"/>
      <c r="E564" s="11"/>
      <c r="F564" s="11"/>
      <c r="G564" s="11"/>
    </row>
    <row r="565">
      <c r="B565" s="11"/>
      <c r="C565" s="11"/>
      <c r="D565" s="11"/>
      <c r="E565" s="11"/>
      <c r="F565" s="11"/>
      <c r="G565" s="11"/>
    </row>
    <row r="566">
      <c r="B566" s="11"/>
      <c r="C566" s="11"/>
      <c r="D566" s="11"/>
      <c r="E566" s="11"/>
      <c r="F566" s="11"/>
      <c r="G566" s="11"/>
    </row>
    <row r="567">
      <c r="B567" s="11"/>
      <c r="C567" s="11"/>
      <c r="D567" s="11"/>
      <c r="E567" s="11"/>
      <c r="F567" s="11"/>
      <c r="G567" s="11"/>
    </row>
    <row r="568">
      <c r="B568" s="11"/>
      <c r="C568" s="11"/>
      <c r="D568" s="11"/>
      <c r="E568" s="11"/>
      <c r="F568" s="11"/>
      <c r="G568" s="11"/>
    </row>
    <row r="569">
      <c r="B569" s="11"/>
      <c r="C569" s="11"/>
      <c r="D569" s="11"/>
      <c r="E569" s="11"/>
      <c r="F569" s="11"/>
      <c r="G569" s="11"/>
    </row>
    <row r="570">
      <c r="B570" s="11"/>
      <c r="C570" s="11"/>
      <c r="D570" s="11"/>
      <c r="E570" s="11"/>
      <c r="F570" s="11"/>
      <c r="G570" s="11"/>
    </row>
    <row r="571">
      <c r="B571" s="11"/>
      <c r="C571" s="11"/>
      <c r="D571" s="11"/>
      <c r="E571" s="11"/>
      <c r="F571" s="11"/>
      <c r="G571" s="11"/>
    </row>
    <row r="572">
      <c r="B572" s="11"/>
      <c r="C572" s="11"/>
      <c r="D572" s="11"/>
      <c r="E572" s="11"/>
      <c r="F572" s="11"/>
      <c r="G572" s="11"/>
    </row>
    <row r="573">
      <c r="B573" s="11"/>
      <c r="C573" s="11"/>
      <c r="D573" s="11"/>
      <c r="E573" s="11"/>
      <c r="F573" s="11"/>
      <c r="G573" s="11"/>
    </row>
    <row r="574">
      <c r="B574" s="11"/>
      <c r="C574" s="11"/>
      <c r="D574" s="11"/>
      <c r="E574" s="11"/>
      <c r="F574" s="11"/>
      <c r="G574" s="11"/>
    </row>
    <row r="575">
      <c r="B575" s="11"/>
      <c r="C575" s="11"/>
      <c r="D575" s="11"/>
      <c r="E575" s="11"/>
      <c r="F575" s="11"/>
      <c r="G575" s="11"/>
    </row>
    <row r="576">
      <c r="B576" s="11"/>
      <c r="C576" s="11"/>
      <c r="D576" s="11"/>
      <c r="E576" s="11"/>
      <c r="F576" s="11"/>
      <c r="G576" s="11"/>
    </row>
    <row r="577">
      <c r="B577" s="11"/>
      <c r="C577" s="11"/>
      <c r="D577" s="11"/>
      <c r="E577" s="11"/>
      <c r="F577" s="11"/>
      <c r="G577" s="11"/>
    </row>
    <row r="578">
      <c r="B578" s="11"/>
      <c r="C578" s="11"/>
      <c r="D578" s="11"/>
      <c r="E578" s="11"/>
      <c r="F578" s="11"/>
      <c r="G578" s="11"/>
    </row>
    <row r="579">
      <c r="B579" s="11"/>
      <c r="C579" s="11"/>
      <c r="D579" s="11"/>
      <c r="E579" s="11"/>
      <c r="F579" s="11"/>
      <c r="G579" s="11"/>
    </row>
    <row r="580">
      <c r="B580" s="11"/>
      <c r="C580" s="11"/>
      <c r="D580" s="11"/>
      <c r="E580" s="11"/>
      <c r="F580" s="11"/>
      <c r="G580" s="11"/>
    </row>
    <row r="581">
      <c r="B581" s="11"/>
      <c r="C581" s="11"/>
      <c r="D581" s="11"/>
      <c r="E581" s="11"/>
      <c r="F581" s="11"/>
      <c r="G581" s="11"/>
    </row>
    <row r="582">
      <c r="B582" s="11"/>
      <c r="C582" s="11"/>
      <c r="D582" s="11"/>
      <c r="E582" s="11"/>
      <c r="F582" s="11"/>
      <c r="G582" s="11"/>
    </row>
    <row r="583">
      <c r="B583" s="11"/>
      <c r="C583" s="11"/>
      <c r="D583" s="11"/>
      <c r="E583" s="11"/>
      <c r="F583" s="11"/>
      <c r="G583" s="11"/>
    </row>
    <row r="584">
      <c r="B584" s="11"/>
      <c r="C584" s="11"/>
      <c r="D584" s="11"/>
      <c r="E584" s="11"/>
      <c r="F584" s="11"/>
      <c r="G584" s="11"/>
    </row>
    <row r="585">
      <c r="B585" s="11"/>
      <c r="C585" s="11"/>
      <c r="D585" s="11"/>
      <c r="E585" s="11"/>
      <c r="F585" s="11"/>
      <c r="G585" s="11"/>
    </row>
    <row r="586">
      <c r="B586" s="11"/>
      <c r="C586" s="11"/>
      <c r="D586" s="11"/>
      <c r="E586" s="11"/>
      <c r="F586" s="11"/>
      <c r="G586" s="11"/>
    </row>
    <row r="587">
      <c r="B587" s="11"/>
      <c r="C587" s="11"/>
      <c r="D587" s="11"/>
      <c r="E587" s="11"/>
      <c r="F587" s="11"/>
      <c r="G587" s="11"/>
    </row>
    <row r="588">
      <c r="B588" s="11"/>
      <c r="C588" s="11"/>
      <c r="D588" s="11"/>
      <c r="E588" s="11"/>
      <c r="F588" s="11"/>
      <c r="G588" s="11"/>
    </row>
    <row r="589">
      <c r="B589" s="11"/>
      <c r="C589" s="11"/>
      <c r="D589" s="11"/>
      <c r="E589" s="11"/>
      <c r="F589" s="11"/>
      <c r="G589" s="11"/>
    </row>
    <row r="590">
      <c r="B590" s="11"/>
      <c r="C590" s="11"/>
      <c r="D590" s="11"/>
      <c r="E590" s="11"/>
      <c r="F590" s="11"/>
      <c r="G590" s="11"/>
    </row>
    <row r="591">
      <c r="B591" s="11"/>
      <c r="C591" s="11"/>
      <c r="D591" s="11"/>
      <c r="E591" s="11"/>
      <c r="F591" s="11"/>
      <c r="G591" s="11"/>
    </row>
    <row r="592">
      <c r="B592" s="11"/>
      <c r="C592" s="11"/>
      <c r="D592" s="11"/>
      <c r="E592" s="11"/>
      <c r="F592" s="11"/>
      <c r="G592" s="11"/>
    </row>
    <row r="593">
      <c r="B593" s="11"/>
      <c r="C593" s="11"/>
      <c r="D593" s="11"/>
      <c r="E593" s="11"/>
      <c r="F593" s="11"/>
      <c r="G593" s="11"/>
    </row>
    <row r="594">
      <c r="B594" s="11"/>
      <c r="C594" s="11"/>
      <c r="D594" s="11"/>
      <c r="E594" s="11"/>
      <c r="F594" s="11"/>
      <c r="G594" s="11"/>
    </row>
    <row r="595">
      <c r="B595" s="11"/>
      <c r="C595" s="11"/>
      <c r="D595" s="11"/>
      <c r="E595" s="11"/>
      <c r="F595" s="11"/>
      <c r="G595" s="11"/>
    </row>
    <row r="596">
      <c r="B596" s="11"/>
      <c r="C596" s="11"/>
      <c r="D596" s="11"/>
      <c r="E596" s="11"/>
      <c r="F596" s="11"/>
      <c r="G596" s="11"/>
    </row>
    <row r="597">
      <c r="B597" s="11"/>
      <c r="C597" s="11"/>
      <c r="D597" s="11"/>
      <c r="E597" s="11"/>
      <c r="F597" s="11"/>
      <c r="G597" s="11"/>
    </row>
    <row r="598">
      <c r="B598" s="11"/>
      <c r="C598" s="11"/>
      <c r="D598" s="11"/>
      <c r="E598" s="11"/>
      <c r="F598" s="11"/>
      <c r="G598" s="11"/>
    </row>
    <row r="599">
      <c r="B599" s="11"/>
      <c r="C599" s="11"/>
      <c r="D599" s="11"/>
      <c r="E599" s="11"/>
      <c r="F599" s="11"/>
      <c r="G599" s="11"/>
    </row>
    <row r="600">
      <c r="B600" s="11"/>
      <c r="C600" s="11"/>
      <c r="D600" s="11"/>
      <c r="E600" s="11"/>
      <c r="F600" s="11"/>
      <c r="G600" s="11"/>
    </row>
    <row r="601">
      <c r="B601" s="11"/>
      <c r="C601" s="11"/>
      <c r="D601" s="11"/>
      <c r="E601" s="11"/>
      <c r="F601" s="11"/>
      <c r="G601" s="11"/>
    </row>
    <row r="602">
      <c r="B602" s="11"/>
      <c r="C602" s="11"/>
      <c r="D602" s="11"/>
      <c r="E602" s="11"/>
      <c r="F602" s="11"/>
      <c r="G602" s="11"/>
    </row>
    <row r="603">
      <c r="B603" s="11"/>
      <c r="C603" s="11"/>
      <c r="D603" s="11"/>
      <c r="E603" s="11"/>
      <c r="F603" s="11"/>
      <c r="G603" s="11"/>
    </row>
    <row r="604">
      <c r="B604" s="11"/>
      <c r="C604" s="11"/>
      <c r="D604" s="11"/>
      <c r="E604" s="11"/>
      <c r="F604" s="11"/>
      <c r="G604" s="11"/>
    </row>
    <row r="605">
      <c r="B605" s="11"/>
      <c r="C605" s="11"/>
      <c r="D605" s="11"/>
      <c r="E605" s="11"/>
      <c r="F605" s="11"/>
      <c r="G605" s="11"/>
    </row>
    <row r="606">
      <c r="B606" s="11"/>
      <c r="C606" s="11"/>
      <c r="D606" s="11"/>
      <c r="E606" s="11"/>
      <c r="F606" s="11"/>
      <c r="G606" s="11"/>
    </row>
    <row r="607">
      <c r="B607" s="11"/>
      <c r="C607" s="11"/>
      <c r="D607" s="11"/>
      <c r="E607" s="11"/>
      <c r="F607" s="11"/>
      <c r="G607" s="11"/>
    </row>
    <row r="608">
      <c r="B608" s="11"/>
      <c r="C608" s="11"/>
      <c r="D608" s="11"/>
      <c r="E608" s="11"/>
      <c r="F608" s="11"/>
      <c r="G608" s="11"/>
    </row>
    <row r="609">
      <c r="B609" s="11"/>
      <c r="C609" s="11"/>
      <c r="D609" s="11"/>
      <c r="E609" s="11"/>
      <c r="F609" s="11"/>
      <c r="G609" s="11"/>
    </row>
    <row r="610">
      <c r="B610" s="11"/>
      <c r="C610" s="11"/>
      <c r="D610" s="11"/>
      <c r="E610" s="11"/>
      <c r="F610" s="11"/>
      <c r="G610" s="11"/>
    </row>
    <row r="611">
      <c r="B611" s="11"/>
      <c r="C611" s="11"/>
      <c r="D611" s="11"/>
      <c r="E611" s="11"/>
      <c r="F611" s="11"/>
      <c r="G611" s="11"/>
    </row>
    <row r="612">
      <c r="B612" s="11"/>
      <c r="C612" s="11"/>
      <c r="D612" s="11"/>
      <c r="E612" s="11"/>
      <c r="F612" s="11"/>
      <c r="G612" s="11"/>
    </row>
    <row r="613">
      <c r="B613" s="11"/>
      <c r="C613" s="11"/>
      <c r="D613" s="11"/>
      <c r="E613" s="11"/>
      <c r="F613" s="11"/>
      <c r="G613" s="11"/>
    </row>
    <row r="614">
      <c r="B614" s="11"/>
      <c r="C614" s="11"/>
      <c r="D614" s="11"/>
      <c r="E614" s="11"/>
      <c r="F614" s="11"/>
      <c r="G614" s="11"/>
    </row>
    <row r="615">
      <c r="B615" s="11"/>
      <c r="C615" s="11"/>
      <c r="D615" s="11"/>
      <c r="E615" s="11"/>
      <c r="F615" s="11"/>
      <c r="G615" s="11"/>
    </row>
    <row r="616">
      <c r="B616" s="11"/>
      <c r="C616" s="11"/>
      <c r="D616" s="11"/>
      <c r="E616" s="11"/>
      <c r="F616" s="11"/>
      <c r="G616" s="11"/>
    </row>
    <row r="617">
      <c r="B617" s="11"/>
      <c r="C617" s="11"/>
      <c r="D617" s="11"/>
      <c r="E617" s="11"/>
      <c r="F617" s="11"/>
      <c r="G617" s="11"/>
    </row>
    <row r="618">
      <c r="B618" s="11"/>
      <c r="C618" s="11"/>
      <c r="D618" s="11"/>
      <c r="E618" s="11"/>
      <c r="F618" s="11"/>
      <c r="G618" s="11"/>
    </row>
    <row r="619">
      <c r="B619" s="11"/>
      <c r="C619" s="11"/>
      <c r="D619" s="11"/>
      <c r="E619" s="11"/>
      <c r="F619" s="11"/>
      <c r="G619" s="11"/>
    </row>
    <row r="620">
      <c r="B620" s="11"/>
      <c r="C620" s="11"/>
      <c r="D620" s="11"/>
      <c r="E620" s="11"/>
      <c r="F620" s="11"/>
      <c r="G620" s="11"/>
    </row>
    <row r="621">
      <c r="B621" s="11"/>
      <c r="C621" s="11"/>
      <c r="D621" s="11"/>
      <c r="E621" s="11"/>
      <c r="F621" s="11"/>
      <c r="G621" s="11"/>
    </row>
    <row r="622">
      <c r="B622" s="11"/>
      <c r="C622" s="11"/>
      <c r="D622" s="11"/>
      <c r="E622" s="11"/>
      <c r="F622" s="11"/>
      <c r="G622" s="11"/>
    </row>
    <row r="623">
      <c r="B623" s="11"/>
      <c r="C623" s="11"/>
      <c r="D623" s="11"/>
      <c r="E623" s="11"/>
      <c r="F623" s="11"/>
      <c r="G623" s="11"/>
    </row>
    <row r="624">
      <c r="B624" s="11"/>
      <c r="C624" s="11"/>
      <c r="D624" s="11"/>
      <c r="E624" s="11"/>
      <c r="F624" s="11"/>
      <c r="G624" s="11"/>
    </row>
    <row r="625">
      <c r="B625" s="11"/>
      <c r="C625" s="11"/>
      <c r="D625" s="11"/>
      <c r="E625" s="11"/>
      <c r="F625" s="11"/>
      <c r="G625" s="11"/>
    </row>
    <row r="626">
      <c r="B626" s="11"/>
      <c r="C626" s="11"/>
      <c r="D626" s="11"/>
      <c r="E626" s="11"/>
      <c r="F626" s="11"/>
      <c r="G626" s="11"/>
    </row>
    <row r="627">
      <c r="B627" s="11"/>
      <c r="C627" s="11"/>
      <c r="D627" s="11"/>
      <c r="E627" s="11"/>
      <c r="F627" s="11"/>
      <c r="G627" s="11"/>
    </row>
    <row r="628">
      <c r="B628" s="11"/>
      <c r="C628" s="11"/>
      <c r="D628" s="11"/>
      <c r="E628" s="11"/>
      <c r="F628" s="11"/>
      <c r="G628" s="11"/>
    </row>
    <row r="629">
      <c r="B629" s="11"/>
      <c r="C629" s="11"/>
      <c r="D629" s="11"/>
      <c r="E629" s="11"/>
      <c r="F629" s="11"/>
      <c r="G629" s="11"/>
    </row>
    <row r="630">
      <c r="B630" s="11"/>
      <c r="C630" s="11"/>
      <c r="D630" s="11"/>
      <c r="E630" s="11"/>
      <c r="F630" s="11"/>
      <c r="G630" s="11"/>
    </row>
    <row r="631">
      <c r="B631" s="11"/>
      <c r="C631" s="11"/>
      <c r="D631" s="11"/>
      <c r="E631" s="11"/>
      <c r="F631" s="11"/>
      <c r="G631" s="11"/>
    </row>
    <row r="632">
      <c r="B632" s="11"/>
      <c r="C632" s="11"/>
      <c r="D632" s="11"/>
      <c r="E632" s="11"/>
      <c r="F632" s="11"/>
      <c r="G632" s="11"/>
    </row>
    <row r="633">
      <c r="B633" s="11"/>
      <c r="C633" s="11"/>
      <c r="D633" s="11"/>
      <c r="E633" s="11"/>
      <c r="F633" s="11"/>
      <c r="G633" s="11"/>
    </row>
    <row r="634">
      <c r="B634" s="11"/>
      <c r="C634" s="11"/>
      <c r="D634" s="11"/>
      <c r="E634" s="11"/>
      <c r="F634" s="11"/>
      <c r="G634" s="11"/>
    </row>
    <row r="635">
      <c r="B635" s="11"/>
      <c r="C635" s="11"/>
      <c r="D635" s="11"/>
      <c r="E635" s="11"/>
      <c r="F635" s="11"/>
      <c r="G635" s="11"/>
    </row>
    <row r="636">
      <c r="B636" s="11"/>
      <c r="C636" s="11"/>
      <c r="D636" s="11"/>
      <c r="E636" s="11"/>
      <c r="F636" s="11"/>
      <c r="G636" s="11"/>
    </row>
    <row r="637">
      <c r="B637" s="11"/>
      <c r="C637" s="11"/>
      <c r="D637" s="11"/>
      <c r="E637" s="11"/>
      <c r="F637" s="11"/>
      <c r="G637" s="11"/>
    </row>
    <row r="638">
      <c r="B638" s="11"/>
      <c r="C638" s="11"/>
      <c r="D638" s="11"/>
      <c r="E638" s="11"/>
      <c r="F638" s="11"/>
      <c r="G638" s="11"/>
    </row>
    <row r="639">
      <c r="B639" s="11"/>
      <c r="C639" s="11"/>
      <c r="D639" s="11"/>
      <c r="E639" s="11"/>
      <c r="F639" s="11"/>
      <c r="G639" s="11"/>
    </row>
    <row r="640">
      <c r="B640" s="11"/>
      <c r="C640" s="11"/>
      <c r="D640" s="11"/>
      <c r="E640" s="11"/>
      <c r="F640" s="11"/>
      <c r="G640" s="11"/>
    </row>
    <row r="641">
      <c r="B641" s="11"/>
      <c r="C641" s="11"/>
      <c r="D641" s="11"/>
      <c r="E641" s="11"/>
      <c r="F641" s="11"/>
      <c r="G641" s="11"/>
    </row>
    <row r="642">
      <c r="B642" s="11"/>
      <c r="C642" s="11"/>
      <c r="D642" s="11"/>
      <c r="E642" s="11"/>
      <c r="F642" s="11"/>
      <c r="G642" s="11"/>
    </row>
    <row r="643">
      <c r="B643" s="11"/>
      <c r="C643" s="11"/>
      <c r="D643" s="11"/>
      <c r="E643" s="11"/>
      <c r="F643" s="11"/>
      <c r="G643" s="11"/>
    </row>
    <row r="644">
      <c r="B644" s="11"/>
      <c r="C644" s="11"/>
      <c r="D644" s="11"/>
      <c r="E644" s="11"/>
      <c r="F644" s="11"/>
      <c r="G644" s="11"/>
    </row>
    <row r="645">
      <c r="B645" s="11"/>
      <c r="C645" s="11"/>
      <c r="D645" s="11"/>
      <c r="E645" s="11"/>
      <c r="F645" s="11"/>
      <c r="G645" s="11"/>
    </row>
    <row r="646">
      <c r="B646" s="11"/>
      <c r="C646" s="11"/>
      <c r="D646" s="11"/>
      <c r="E646" s="11"/>
      <c r="F646" s="11"/>
      <c r="G646" s="11"/>
    </row>
    <row r="647">
      <c r="B647" s="11"/>
      <c r="C647" s="11"/>
      <c r="D647" s="11"/>
      <c r="E647" s="11"/>
      <c r="F647" s="11"/>
      <c r="G647" s="11"/>
    </row>
    <row r="648">
      <c r="B648" s="11"/>
      <c r="C648" s="11"/>
      <c r="D648" s="11"/>
      <c r="E648" s="11"/>
      <c r="F648" s="11"/>
      <c r="G648" s="11"/>
    </row>
    <row r="649">
      <c r="B649" s="11"/>
      <c r="C649" s="11"/>
      <c r="D649" s="11"/>
      <c r="E649" s="11"/>
      <c r="F649" s="11"/>
      <c r="G649" s="11"/>
    </row>
    <row r="650">
      <c r="B650" s="11"/>
      <c r="C650" s="11"/>
      <c r="D650" s="11"/>
      <c r="E650" s="11"/>
      <c r="F650" s="11"/>
      <c r="G650" s="11"/>
    </row>
    <row r="651">
      <c r="B651" s="11"/>
      <c r="C651" s="11"/>
      <c r="D651" s="11"/>
      <c r="E651" s="11"/>
      <c r="F651" s="11"/>
      <c r="G651" s="11"/>
    </row>
    <row r="652">
      <c r="B652" s="11"/>
      <c r="C652" s="11"/>
      <c r="D652" s="11"/>
      <c r="E652" s="11"/>
      <c r="F652" s="11"/>
      <c r="G652" s="11"/>
    </row>
    <row r="653">
      <c r="B653" s="11"/>
      <c r="C653" s="11"/>
      <c r="D653" s="11"/>
      <c r="E653" s="11"/>
      <c r="F653" s="11"/>
      <c r="G653" s="11"/>
    </row>
    <row r="654">
      <c r="B654" s="11"/>
      <c r="C654" s="11"/>
      <c r="D654" s="11"/>
      <c r="E654" s="11"/>
      <c r="F654" s="11"/>
      <c r="G654" s="11"/>
    </row>
    <row r="655">
      <c r="B655" s="11"/>
      <c r="C655" s="11"/>
      <c r="D655" s="11"/>
      <c r="E655" s="11"/>
      <c r="F655" s="11"/>
      <c r="G655" s="11"/>
    </row>
    <row r="656">
      <c r="B656" s="11"/>
      <c r="C656" s="11"/>
      <c r="D656" s="11"/>
      <c r="E656" s="11"/>
      <c r="F656" s="11"/>
      <c r="G656" s="11"/>
    </row>
    <row r="657">
      <c r="B657" s="11"/>
      <c r="C657" s="11"/>
      <c r="D657" s="11"/>
      <c r="E657" s="11"/>
      <c r="F657" s="11"/>
      <c r="G657" s="11"/>
    </row>
    <row r="658">
      <c r="B658" s="11"/>
      <c r="C658" s="11"/>
      <c r="D658" s="11"/>
      <c r="E658" s="11"/>
      <c r="F658" s="11"/>
      <c r="G658" s="11"/>
    </row>
    <row r="659">
      <c r="B659" s="11"/>
      <c r="C659" s="11"/>
      <c r="D659" s="11"/>
      <c r="E659" s="11"/>
      <c r="F659" s="11"/>
      <c r="G659" s="11"/>
    </row>
    <row r="660">
      <c r="B660" s="11"/>
      <c r="C660" s="11"/>
      <c r="D660" s="11"/>
      <c r="E660" s="11"/>
      <c r="F660" s="11"/>
      <c r="G660" s="11"/>
    </row>
    <row r="661">
      <c r="B661" s="11"/>
      <c r="C661" s="11"/>
      <c r="D661" s="11"/>
      <c r="E661" s="11"/>
      <c r="F661" s="11"/>
      <c r="G661" s="11"/>
    </row>
    <row r="662">
      <c r="B662" s="11"/>
      <c r="C662" s="11"/>
      <c r="D662" s="11"/>
      <c r="E662" s="11"/>
      <c r="F662" s="11"/>
      <c r="G662" s="11"/>
    </row>
    <row r="663">
      <c r="B663" s="11"/>
      <c r="C663" s="11"/>
      <c r="D663" s="11"/>
      <c r="E663" s="11"/>
      <c r="F663" s="11"/>
      <c r="G663" s="11"/>
    </row>
    <row r="664">
      <c r="B664" s="11"/>
      <c r="C664" s="11"/>
      <c r="D664" s="11"/>
      <c r="E664" s="11"/>
      <c r="F664" s="11"/>
      <c r="G664" s="11"/>
    </row>
    <row r="665">
      <c r="B665" s="11"/>
      <c r="C665" s="11"/>
      <c r="D665" s="11"/>
      <c r="E665" s="11"/>
      <c r="F665" s="11"/>
      <c r="G665" s="11"/>
    </row>
    <row r="666">
      <c r="B666" s="11"/>
      <c r="C666" s="11"/>
      <c r="D666" s="11"/>
      <c r="E666" s="11"/>
      <c r="F666" s="11"/>
      <c r="G666" s="11"/>
    </row>
    <row r="667">
      <c r="B667" s="11"/>
      <c r="C667" s="11"/>
      <c r="D667" s="11"/>
      <c r="E667" s="11"/>
      <c r="F667" s="11"/>
      <c r="G667" s="11"/>
    </row>
    <row r="668">
      <c r="B668" s="11"/>
      <c r="C668" s="11"/>
      <c r="D668" s="11"/>
      <c r="E668" s="11"/>
      <c r="F668" s="11"/>
      <c r="G668" s="11"/>
    </row>
    <row r="669">
      <c r="B669" s="11"/>
      <c r="C669" s="11"/>
      <c r="D669" s="11"/>
      <c r="E669" s="11"/>
      <c r="F669" s="11"/>
      <c r="G669" s="11"/>
    </row>
    <row r="670">
      <c r="B670" s="11"/>
      <c r="C670" s="11"/>
      <c r="D670" s="11"/>
      <c r="E670" s="11"/>
      <c r="F670" s="11"/>
      <c r="G670" s="11"/>
    </row>
    <row r="671">
      <c r="B671" s="11"/>
      <c r="C671" s="11"/>
      <c r="D671" s="11"/>
      <c r="E671" s="11"/>
      <c r="F671" s="11"/>
      <c r="G671" s="11"/>
    </row>
    <row r="672">
      <c r="B672" s="11"/>
      <c r="C672" s="11"/>
      <c r="D672" s="11"/>
      <c r="E672" s="11"/>
      <c r="F672" s="11"/>
      <c r="G672" s="11"/>
    </row>
    <row r="673">
      <c r="B673" s="11"/>
      <c r="C673" s="11"/>
      <c r="D673" s="11"/>
      <c r="E673" s="11"/>
      <c r="F673" s="11"/>
      <c r="G673" s="11"/>
    </row>
    <row r="674">
      <c r="B674" s="11"/>
      <c r="C674" s="11"/>
      <c r="D674" s="11"/>
      <c r="E674" s="11"/>
      <c r="F674" s="11"/>
      <c r="G674" s="11"/>
    </row>
    <row r="675">
      <c r="B675" s="11"/>
      <c r="C675" s="11"/>
      <c r="D675" s="11"/>
      <c r="E675" s="11"/>
      <c r="F675" s="11"/>
      <c r="G675" s="11"/>
    </row>
    <row r="676">
      <c r="B676" s="11"/>
      <c r="C676" s="11"/>
      <c r="D676" s="11"/>
      <c r="E676" s="11"/>
      <c r="F676" s="11"/>
      <c r="G676" s="11"/>
    </row>
    <row r="677">
      <c r="B677" s="11"/>
      <c r="C677" s="11"/>
      <c r="D677" s="11"/>
      <c r="E677" s="11"/>
      <c r="F677" s="11"/>
      <c r="G677" s="11"/>
    </row>
    <row r="678">
      <c r="B678" s="11"/>
      <c r="C678" s="11"/>
      <c r="D678" s="11"/>
      <c r="E678" s="11"/>
      <c r="F678" s="11"/>
      <c r="G678" s="11"/>
    </row>
    <row r="679">
      <c r="B679" s="11"/>
      <c r="C679" s="11"/>
      <c r="D679" s="11"/>
      <c r="E679" s="11"/>
      <c r="F679" s="11"/>
      <c r="G679" s="11"/>
    </row>
    <row r="680">
      <c r="B680" s="11"/>
      <c r="C680" s="11"/>
      <c r="D680" s="11"/>
      <c r="E680" s="11"/>
      <c r="F680" s="11"/>
      <c r="G680" s="11"/>
    </row>
    <row r="681">
      <c r="B681" s="11"/>
      <c r="C681" s="11"/>
      <c r="D681" s="11"/>
      <c r="E681" s="11"/>
      <c r="F681" s="11"/>
      <c r="G681" s="11"/>
    </row>
    <row r="682">
      <c r="B682" s="11"/>
      <c r="C682" s="11"/>
      <c r="D682" s="11"/>
      <c r="E682" s="11"/>
      <c r="F682" s="11"/>
      <c r="G682" s="11"/>
    </row>
    <row r="683">
      <c r="B683" s="11"/>
      <c r="C683" s="11"/>
      <c r="D683" s="11"/>
      <c r="E683" s="11"/>
      <c r="F683" s="11"/>
      <c r="G683" s="11"/>
    </row>
    <row r="684">
      <c r="B684" s="11"/>
      <c r="C684" s="11"/>
      <c r="D684" s="11"/>
      <c r="E684" s="11"/>
      <c r="F684" s="11"/>
      <c r="G684" s="11"/>
    </row>
    <row r="685">
      <c r="B685" s="11"/>
      <c r="C685" s="11"/>
      <c r="D685" s="11"/>
      <c r="E685" s="11"/>
      <c r="F685" s="11"/>
      <c r="G685" s="11"/>
    </row>
    <row r="686">
      <c r="B686" s="11"/>
      <c r="C686" s="11"/>
      <c r="D686" s="11"/>
      <c r="E686" s="11"/>
      <c r="F686" s="11"/>
      <c r="G686" s="11"/>
    </row>
    <row r="687">
      <c r="B687" s="11"/>
      <c r="C687" s="11"/>
      <c r="D687" s="11"/>
      <c r="E687" s="11"/>
      <c r="F687" s="11"/>
      <c r="G687" s="11"/>
    </row>
    <row r="688">
      <c r="B688" s="11"/>
      <c r="C688" s="11"/>
      <c r="D688" s="11"/>
      <c r="E688" s="11"/>
      <c r="F688" s="11"/>
      <c r="G688" s="11"/>
    </row>
    <row r="689">
      <c r="B689" s="11"/>
      <c r="C689" s="11"/>
      <c r="D689" s="11"/>
      <c r="E689" s="11"/>
      <c r="F689" s="11"/>
      <c r="G689" s="11"/>
    </row>
    <row r="690">
      <c r="B690" s="11"/>
      <c r="C690" s="11"/>
      <c r="D690" s="11"/>
      <c r="E690" s="11"/>
      <c r="F690" s="11"/>
      <c r="G690" s="11"/>
    </row>
    <row r="691">
      <c r="B691" s="11"/>
      <c r="C691" s="11"/>
      <c r="D691" s="11"/>
      <c r="E691" s="11"/>
      <c r="F691" s="11"/>
      <c r="G691" s="11"/>
    </row>
    <row r="692">
      <c r="B692" s="11"/>
      <c r="C692" s="11"/>
      <c r="D692" s="11"/>
      <c r="E692" s="11"/>
      <c r="F692" s="11"/>
      <c r="G692" s="11"/>
    </row>
    <row r="693">
      <c r="B693" s="11"/>
      <c r="C693" s="11"/>
      <c r="D693" s="11"/>
      <c r="E693" s="11"/>
      <c r="F693" s="11"/>
      <c r="G693" s="11"/>
    </row>
    <row r="694">
      <c r="B694" s="11"/>
      <c r="C694" s="11"/>
      <c r="D694" s="11"/>
      <c r="E694" s="11"/>
      <c r="F694" s="11"/>
      <c r="G694" s="11"/>
    </row>
    <row r="695">
      <c r="B695" s="11"/>
      <c r="C695" s="11"/>
      <c r="D695" s="11"/>
      <c r="E695" s="11"/>
      <c r="F695" s="11"/>
      <c r="G695" s="11"/>
    </row>
    <row r="696">
      <c r="B696" s="11"/>
      <c r="C696" s="11"/>
      <c r="D696" s="11"/>
      <c r="E696" s="11"/>
      <c r="F696" s="11"/>
      <c r="G696" s="11"/>
    </row>
    <row r="697">
      <c r="B697" s="11"/>
      <c r="C697" s="11"/>
      <c r="D697" s="11"/>
      <c r="E697" s="11"/>
      <c r="F697" s="11"/>
      <c r="G697" s="11"/>
    </row>
    <row r="698">
      <c r="B698" s="11"/>
      <c r="C698" s="11"/>
      <c r="D698" s="11"/>
      <c r="E698" s="11"/>
      <c r="F698" s="11"/>
      <c r="G698" s="11"/>
    </row>
    <row r="699">
      <c r="B699" s="11"/>
      <c r="C699" s="11"/>
      <c r="D699" s="11"/>
      <c r="E699" s="11"/>
      <c r="F699" s="11"/>
      <c r="G699" s="11"/>
    </row>
    <row r="700">
      <c r="B700" s="11"/>
      <c r="C700" s="11"/>
      <c r="D700" s="11"/>
      <c r="E700" s="11"/>
      <c r="F700" s="11"/>
      <c r="G700" s="11"/>
    </row>
    <row r="701">
      <c r="B701" s="11"/>
      <c r="C701" s="11"/>
      <c r="D701" s="11"/>
      <c r="E701" s="11"/>
      <c r="F701" s="11"/>
      <c r="G701" s="11"/>
    </row>
    <row r="702">
      <c r="B702" s="11"/>
      <c r="C702" s="11"/>
      <c r="D702" s="11"/>
      <c r="E702" s="11"/>
      <c r="F702" s="11"/>
      <c r="G702" s="11"/>
    </row>
    <row r="703">
      <c r="B703" s="11"/>
      <c r="C703" s="11"/>
      <c r="D703" s="11"/>
      <c r="E703" s="11"/>
      <c r="F703" s="11"/>
      <c r="G703" s="11"/>
    </row>
    <row r="704">
      <c r="B704" s="11"/>
      <c r="C704" s="11"/>
      <c r="D704" s="11"/>
      <c r="E704" s="11"/>
      <c r="F704" s="11"/>
      <c r="G704" s="11"/>
    </row>
    <row r="705">
      <c r="B705" s="11"/>
      <c r="C705" s="11"/>
      <c r="D705" s="11"/>
      <c r="E705" s="11"/>
      <c r="F705" s="11"/>
      <c r="G705" s="11"/>
    </row>
    <row r="706">
      <c r="B706" s="11"/>
      <c r="C706" s="11"/>
      <c r="D706" s="11"/>
      <c r="E706" s="11"/>
      <c r="F706" s="11"/>
      <c r="G706" s="11"/>
    </row>
    <row r="707">
      <c r="B707" s="11"/>
      <c r="C707" s="11"/>
      <c r="D707" s="11"/>
      <c r="E707" s="11"/>
      <c r="F707" s="11"/>
      <c r="G707" s="11"/>
    </row>
    <row r="708">
      <c r="B708" s="11"/>
      <c r="C708" s="11"/>
      <c r="D708" s="11"/>
      <c r="E708" s="11"/>
      <c r="F708" s="11"/>
      <c r="G708" s="11"/>
    </row>
    <row r="709">
      <c r="B709" s="11"/>
      <c r="C709" s="11"/>
      <c r="D709" s="11"/>
      <c r="E709" s="11"/>
      <c r="F709" s="11"/>
      <c r="G709" s="11"/>
    </row>
    <row r="710">
      <c r="B710" s="11"/>
      <c r="C710" s="11"/>
      <c r="D710" s="11"/>
      <c r="E710" s="11"/>
      <c r="F710" s="11"/>
      <c r="G710" s="11"/>
    </row>
    <row r="711">
      <c r="B711" s="11"/>
      <c r="C711" s="11"/>
      <c r="D711" s="11"/>
      <c r="E711" s="11"/>
      <c r="F711" s="11"/>
      <c r="G711" s="11"/>
    </row>
    <row r="712">
      <c r="B712" s="11"/>
      <c r="C712" s="11"/>
      <c r="D712" s="11"/>
      <c r="E712" s="11"/>
      <c r="F712" s="11"/>
      <c r="G712" s="11"/>
    </row>
    <row r="713">
      <c r="B713" s="11"/>
      <c r="C713" s="11"/>
      <c r="D713" s="11"/>
      <c r="E713" s="11"/>
      <c r="F713" s="11"/>
      <c r="G713" s="11"/>
    </row>
    <row r="714">
      <c r="B714" s="11"/>
      <c r="C714" s="11"/>
      <c r="D714" s="11"/>
      <c r="E714" s="11"/>
      <c r="F714" s="11"/>
      <c r="G714" s="11"/>
    </row>
    <row r="715">
      <c r="B715" s="11"/>
      <c r="C715" s="11"/>
      <c r="D715" s="11"/>
      <c r="E715" s="11"/>
      <c r="F715" s="11"/>
      <c r="G715" s="11"/>
    </row>
    <row r="716">
      <c r="B716" s="11"/>
      <c r="C716" s="11"/>
      <c r="D716" s="11"/>
      <c r="E716" s="11"/>
      <c r="F716" s="11"/>
      <c r="G716" s="11"/>
    </row>
    <row r="717">
      <c r="B717" s="11"/>
      <c r="C717" s="11"/>
      <c r="D717" s="11"/>
      <c r="E717" s="11"/>
      <c r="F717" s="11"/>
      <c r="G717" s="11"/>
    </row>
    <row r="718">
      <c r="B718" s="11"/>
      <c r="C718" s="11"/>
      <c r="D718" s="11"/>
      <c r="E718" s="11"/>
      <c r="F718" s="11"/>
      <c r="G718" s="11"/>
    </row>
    <row r="719">
      <c r="B719" s="11"/>
      <c r="C719" s="11"/>
      <c r="D719" s="11"/>
      <c r="E719" s="11"/>
      <c r="F719" s="11"/>
      <c r="G719" s="11"/>
    </row>
    <row r="720">
      <c r="B720" s="11"/>
      <c r="C720" s="11"/>
      <c r="D720" s="11"/>
      <c r="E720" s="11"/>
      <c r="F720" s="11"/>
      <c r="G720" s="11"/>
    </row>
    <row r="721">
      <c r="B721" s="11"/>
      <c r="C721" s="11"/>
      <c r="D721" s="11"/>
      <c r="E721" s="11"/>
      <c r="F721" s="11"/>
      <c r="G721" s="11"/>
    </row>
    <row r="722">
      <c r="B722" s="11"/>
      <c r="C722" s="11"/>
      <c r="D722" s="11"/>
      <c r="E722" s="11"/>
      <c r="F722" s="11"/>
      <c r="G722" s="11"/>
    </row>
    <row r="723">
      <c r="B723" s="11"/>
      <c r="C723" s="11"/>
      <c r="D723" s="11"/>
      <c r="E723" s="11"/>
      <c r="F723" s="11"/>
      <c r="G723" s="11"/>
    </row>
    <row r="724">
      <c r="B724" s="11"/>
      <c r="C724" s="11"/>
      <c r="D724" s="11"/>
      <c r="E724" s="11"/>
      <c r="F724" s="11"/>
      <c r="G724" s="11"/>
    </row>
    <row r="725">
      <c r="B725" s="11"/>
      <c r="C725" s="11"/>
      <c r="D725" s="11"/>
      <c r="E725" s="11"/>
      <c r="F725" s="11"/>
      <c r="G725" s="11"/>
    </row>
    <row r="726">
      <c r="B726" s="11"/>
      <c r="C726" s="11"/>
      <c r="D726" s="11"/>
      <c r="E726" s="11"/>
      <c r="F726" s="11"/>
      <c r="G726" s="11"/>
    </row>
    <row r="727">
      <c r="B727" s="11"/>
      <c r="C727" s="11"/>
      <c r="D727" s="11"/>
      <c r="E727" s="11"/>
      <c r="F727" s="11"/>
      <c r="G727" s="11"/>
    </row>
    <row r="728">
      <c r="B728" s="11"/>
      <c r="C728" s="11"/>
      <c r="D728" s="11"/>
      <c r="E728" s="11"/>
      <c r="F728" s="11"/>
      <c r="G728" s="11"/>
    </row>
    <row r="729">
      <c r="B729" s="11"/>
      <c r="C729" s="11"/>
      <c r="D729" s="11"/>
      <c r="E729" s="11"/>
      <c r="F729" s="11"/>
      <c r="G729" s="11"/>
    </row>
    <row r="730">
      <c r="B730" s="11"/>
      <c r="C730" s="11"/>
      <c r="D730" s="11"/>
      <c r="E730" s="11"/>
      <c r="F730" s="11"/>
      <c r="G730" s="11"/>
    </row>
    <row r="731">
      <c r="B731" s="11"/>
      <c r="C731" s="11"/>
      <c r="D731" s="11"/>
      <c r="E731" s="11"/>
      <c r="F731" s="11"/>
      <c r="G731" s="11"/>
    </row>
    <row r="732">
      <c r="B732" s="11"/>
      <c r="C732" s="11"/>
      <c r="D732" s="11"/>
      <c r="E732" s="11"/>
      <c r="F732" s="11"/>
      <c r="G732" s="11"/>
    </row>
    <row r="733">
      <c r="B733" s="11"/>
      <c r="C733" s="11"/>
      <c r="D733" s="11"/>
      <c r="E733" s="11"/>
      <c r="F733" s="11"/>
      <c r="G733" s="11"/>
    </row>
    <row r="734">
      <c r="B734" s="11"/>
      <c r="C734" s="11"/>
      <c r="D734" s="11"/>
      <c r="E734" s="11"/>
      <c r="F734" s="11"/>
      <c r="G734" s="11"/>
    </row>
    <row r="735">
      <c r="B735" s="11"/>
      <c r="C735" s="11"/>
      <c r="D735" s="11"/>
      <c r="E735" s="11"/>
      <c r="F735" s="11"/>
      <c r="G735" s="11"/>
    </row>
    <row r="736">
      <c r="B736" s="11"/>
      <c r="C736" s="11"/>
      <c r="D736" s="11"/>
      <c r="E736" s="11"/>
      <c r="F736" s="11"/>
      <c r="G736" s="11"/>
    </row>
    <row r="737">
      <c r="B737" s="11"/>
      <c r="C737" s="11"/>
      <c r="D737" s="11"/>
      <c r="E737" s="11"/>
      <c r="F737" s="11"/>
      <c r="G737" s="11"/>
    </row>
    <row r="738">
      <c r="B738" s="11"/>
      <c r="C738" s="11"/>
      <c r="D738" s="11"/>
      <c r="E738" s="11"/>
      <c r="F738" s="11"/>
      <c r="G738" s="11"/>
    </row>
    <row r="739">
      <c r="B739" s="11"/>
      <c r="C739" s="11"/>
      <c r="D739" s="11"/>
      <c r="E739" s="11"/>
      <c r="F739" s="11"/>
      <c r="G739" s="11"/>
    </row>
    <row r="740">
      <c r="B740" s="11"/>
      <c r="C740" s="11"/>
      <c r="D740" s="11"/>
      <c r="E740" s="11"/>
      <c r="F740" s="11"/>
      <c r="G740" s="11"/>
    </row>
    <row r="741">
      <c r="B741" s="11"/>
      <c r="C741" s="11"/>
      <c r="D741" s="11"/>
      <c r="E741" s="11"/>
      <c r="F741" s="11"/>
      <c r="G741" s="11"/>
    </row>
    <row r="742">
      <c r="B742" s="11"/>
      <c r="C742" s="11"/>
      <c r="D742" s="11"/>
      <c r="E742" s="11"/>
      <c r="F742" s="11"/>
      <c r="G742" s="11"/>
    </row>
    <row r="743">
      <c r="B743" s="11"/>
      <c r="C743" s="11"/>
      <c r="D743" s="11"/>
      <c r="E743" s="11"/>
      <c r="F743" s="11"/>
      <c r="G743" s="11"/>
    </row>
    <row r="744">
      <c r="B744" s="11"/>
      <c r="C744" s="11"/>
      <c r="D744" s="11"/>
      <c r="E744" s="11"/>
      <c r="F744" s="11"/>
      <c r="G744" s="11"/>
    </row>
    <row r="745">
      <c r="B745" s="11"/>
      <c r="C745" s="11"/>
      <c r="D745" s="11"/>
      <c r="E745" s="11"/>
      <c r="F745" s="11"/>
      <c r="G745" s="11"/>
    </row>
    <row r="746">
      <c r="B746" s="11"/>
      <c r="C746" s="11"/>
      <c r="D746" s="11"/>
      <c r="E746" s="11"/>
      <c r="F746" s="11"/>
      <c r="G746" s="11"/>
    </row>
    <row r="747">
      <c r="B747" s="11"/>
      <c r="C747" s="11"/>
      <c r="D747" s="11"/>
      <c r="E747" s="11"/>
      <c r="F747" s="11"/>
      <c r="G747" s="11"/>
    </row>
    <row r="748">
      <c r="B748" s="11"/>
      <c r="C748" s="11"/>
      <c r="D748" s="11"/>
      <c r="E748" s="11"/>
      <c r="F748" s="11"/>
      <c r="G748" s="11"/>
    </row>
    <row r="749">
      <c r="B749" s="11"/>
      <c r="C749" s="11"/>
      <c r="D749" s="11"/>
      <c r="E749" s="11"/>
      <c r="F749" s="11"/>
      <c r="G749" s="11"/>
    </row>
    <row r="750">
      <c r="B750" s="11"/>
      <c r="C750" s="11"/>
      <c r="D750" s="11"/>
      <c r="E750" s="11"/>
      <c r="F750" s="11"/>
      <c r="G750" s="11"/>
    </row>
    <row r="751">
      <c r="B751" s="11"/>
      <c r="C751" s="11"/>
      <c r="D751" s="11"/>
      <c r="E751" s="11"/>
      <c r="F751" s="11"/>
      <c r="G751" s="11"/>
    </row>
    <row r="752">
      <c r="B752" s="11"/>
      <c r="C752" s="11"/>
      <c r="D752" s="11"/>
      <c r="E752" s="11"/>
      <c r="F752" s="11"/>
      <c r="G752" s="11"/>
    </row>
    <row r="753">
      <c r="B753" s="11"/>
      <c r="C753" s="11"/>
      <c r="D753" s="11"/>
      <c r="E753" s="11"/>
      <c r="F753" s="11"/>
      <c r="G753" s="11"/>
    </row>
    <row r="754">
      <c r="B754" s="11"/>
      <c r="C754" s="11"/>
      <c r="D754" s="11"/>
      <c r="E754" s="11"/>
      <c r="F754" s="11"/>
      <c r="G754" s="11"/>
    </row>
    <row r="755">
      <c r="B755" s="11"/>
      <c r="C755" s="11"/>
      <c r="D755" s="11"/>
      <c r="E755" s="11"/>
      <c r="F755" s="11"/>
      <c r="G755" s="11"/>
    </row>
    <row r="756">
      <c r="B756" s="11"/>
      <c r="C756" s="11"/>
      <c r="D756" s="11"/>
      <c r="E756" s="11"/>
      <c r="F756" s="11"/>
      <c r="G756" s="11"/>
    </row>
    <row r="757">
      <c r="B757" s="11"/>
      <c r="C757" s="11"/>
      <c r="D757" s="11"/>
      <c r="E757" s="11"/>
      <c r="F757" s="11"/>
      <c r="G757" s="11"/>
    </row>
    <row r="758">
      <c r="B758" s="11"/>
      <c r="C758" s="11"/>
      <c r="D758" s="11"/>
      <c r="E758" s="11"/>
      <c r="F758" s="11"/>
      <c r="G758" s="11"/>
    </row>
    <row r="759">
      <c r="B759" s="11"/>
      <c r="C759" s="11"/>
      <c r="D759" s="11"/>
      <c r="E759" s="11"/>
      <c r="F759" s="11"/>
      <c r="G759" s="11"/>
    </row>
    <row r="760">
      <c r="B760" s="11"/>
      <c r="C760" s="11"/>
      <c r="D760" s="11"/>
      <c r="E760" s="11"/>
      <c r="F760" s="11"/>
      <c r="G760" s="11"/>
    </row>
    <row r="761">
      <c r="B761" s="11"/>
      <c r="C761" s="11"/>
      <c r="D761" s="11"/>
      <c r="E761" s="11"/>
      <c r="F761" s="11"/>
      <c r="G761" s="11"/>
    </row>
    <row r="762">
      <c r="B762" s="11"/>
      <c r="C762" s="11"/>
      <c r="D762" s="11"/>
      <c r="E762" s="11"/>
      <c r="F762" s="11"/>
      <c r="G762" s="11"/>
    </row>
    <row r="763">
      <c r="B763" s="11"/>
      <c r="C763" s="11"/>
      <c r="D763" s="11"/>
      <c r="E763" s="11"/>
      <c r="F763" s="11"/>
      <c r="G763" s="11"/>
    </row>
    <row r="764">
      <c r="B764" s="11"/>
      <c r="C764" s="11"/>
      <c r="D764" s="11"/>
      <c r="E764" s="11"/>
      <c r="F764" s="11"/>
      <c r="G764" s="11"/>
    </row>
    <row r="765">
      <c r="B765" s="11"/>
      <c r="C765" s="11"/>
      <c r="D765" s="11"/>
      <c r="E765" s="11"/>
      <c r="F765" s="11"/>
      <c r="G765" s="11"/>
    </row>
    <row r="766">
      <c r="B766" s="11"/>
      <c r="C766" s="11"/>
      <c r="D766" s="11"/>
      <c r="E766" s="11"/>
      <c r="F766" s="11"/>
      <c r="G766" s="11"/>
    </row>
    <row r="767">
      <c r="B767" s="11"/>
      <c r="C767" s="11"/>
      <c r="D767" s="11"/>
      <c r="E767" s="11"/>
      <c r="F767" s="11"/>
      <c r="G767" s="11"/>
    </row>
    <row r="768">
      <c r="B768" s="11"/>
      <c r="C768" s="11"/>
      <c r="D768" s="11"/>
      <c r="E768" s="11"/>
      <c r="F768" s="11"/>
      <c r="G768" s="11"/>
    </row>
    <row r="769">
      <c r="B769" s="11"/>
      <c r="C769" s="11"/>
      <c r="D769" s="11"/>
      <c r="E769" s="11"/>
      <c r="F769" s="11"/>
      <c r="G769" s="11"/>
    </row>
    <row r="770">
      <c r="B770" s="11"/>
      <c r="C770" s="11"/>
      <c r="D770" s="11"/>
      <c r="E770" s="11"/>
      <c r="F770" s="11"/>
      <c r="G770" s="11"/>
    </row>
    <row r="771">
      <c r="B771" s="11"/>
      <c r="C771" s="11"/>
      <c r="D771" s="11"/>
      <c r="E771" s="11"/>
      <c r="F771" s="11"/>
      <c r="G771" s="11"/>
    </row>
    <row r="772">
      <c r="B772" s="11"/>
      <c r="C772" s="11"/>
      <c r="D772" s="11"/>
      <c r="E772" s="11"/>
      <c r="F772" s="11"/>
      <c r="G772" s="11"/>
    </row>
    <row r="773">
      <c r="B773" s="11"/>
      <c r="C773" s="11"/>
      <c r="D773" s="11"/>
      <c r="E773" s="11"/>
      <c r="F773" s="11"/>
      <c r="G773" s="11"/>
    </row>
    <row r="774">
      <c r="B774" s="11"/>
      <c r="C774" s="11"/>
      <c r="D774" s="11"/>
      <c r="E774" s="11"/>
      <c r="F774" s="11"/>
      <c r="G774" s="11"/>
    </row>
    <row r="775">
      <c r="B775" s="11"/>
      <c r="C775" s="11"/>
      <c r="D775" s="11"/>
      <c r="E775" s="11"/>
      <c r="F775" s="11"/>
      <c r="G775" s="11"/>
    </row>
    <row r="776">
      <c r="B776" s="11"/>
      <c r="C776" s="11"/>
      <c r="D776" s="11"/>
      <c r="E776" s="11"/>
      <c r="F776" s="11"/>
      <c r="G776" s="11"/>
    </row>
    <row r="777">
      <c r="B777" s="11"/>
      <c r="C777" s="11"/>
      <c r="D777" s="11"/>
      <c r="E777" s="11"/>
      <c r="F777" s="11"/>
      <c r="G777" s="11"/>
    </row>
    <row r="778">
      <c r="B778" s="11"/>
      <c r="C778" s="11"/>
      <c r="D778" s="11"/>
      <c r="E778" s="11"/>
      <c r="F778" s="11"/>
      <c r="G778" s="11"/>
    </row>
    <row r="779">
      <c r="B779" s="11"/>
      <c r="C779" s="11"/>
      <c r="D779" s="11"/>
      <c r="E779" s="11"/>
      <c r="F779" s="11"/>
      <c r="G779" s="11"/>
    </row>
    <row r="780">
      <c r="B780" s="11"/>
      <c r="C780" s="11"/>
      <c r="D780" s="11"/>
      <c r="E780" s="11"/>
      <c r="F780" s="11"/>
      <c r="G780" s="11"/>
    </row>
    <row r="781">
      <c r="B781" s="11"/>
      <c r="C781" s="11"/>
      <c r="D781" s="11"/>
      <c r="E781" s="11"/>
      <c r="F781" s="11"/>
      <c r="G781" s="11"/>
    </row>
    <row r="782">
      <c r="B782" s="11"/>
      <c r="C782" s="11"/>
      <c r="D782" s="11"/>
      <c r="E782" s="11"/>
      <c r="F782" s="11"/>
      <c r="G782" s="11"/>
    </row>
    <row r="783">
      <c r="B783" s="11"/>
      <c r="C783" s="11"/>
      <c r="D783" s="11"/>
      <c r="E783" s="11"/>
      <c r="F783" s="11"/>
      <c r="G783" s="11"/>
    </row>
    <row r="784">
      <c r="B784" s="11"/>
      <c r="C784" s="11"/>
      <c r="D784" s="11"/>
      <c r="E784" s="11"/>
      <c r="F784" s="11"/>
      <c r="G784" s="11"/>
    </row>
    <row r="785">
      <c r="B785" s="11"/>
      <c r="C785" s="11"/>
      <c r="D785" s="11"/>
      <c r="E785" s="11"/>
      <c r="F785" s="11"/>
      <c r="G785" s="11"/>
    </row>
    <row r="786">
      <c r="B786" s="11"/>
      <c r="C786" s="11"/>
      <c r="D786" s="11"/>
      <c r="E786" s="11"/>
      <c r="F786" s="11"/>
      <c r="G786" s="11"/>
    </row>
    <row r="787">
      <c r="B787" s="11"/>
      <c r="C787" s="11"/>
      <c r="D787" s="11"/>
      <c r="E787" s="11"/>
      <c r="F787" s="11"/>
      <c r="G787" s="11"/>
    </row>
    <row r="788">
      <c r="B788" s="11"/>
      <c r="C788" s="11"/>
      <c r="D788" s="11"/>
      <c r="E788" s="11"/>
      <c r="F788" s="11"/>
      <c r="G788" s="11"/>
    </row>
    <row r="789">
      <c r="B789" s="11"/>
      <c r="C789" s="11"/>
      <c r="D789" s="11"/>
      <c r="E789" s="11"/>
      <c r="F789" s="11"/>
      <c r="G789" s="11"/>
    </row>
    <row r="790">
      <c r="B790" s="11"/>
      <c r="C790" s="11"/>
      <c r="D790" s="11"/>
      <c r="E790" s="11"/>
      <c r="F790" s="11"/>
      <c r="G790" s="11"/>
    </row>
    <row r="791">
      <c r="B791" s="11"/>
      <c r="C791" s="11"/>
      <c r="D791" s="11"/>
      <c r="E791" s="11"/>
      <c r="F791" s="11"/>
      <c r="G791" s="11"/>
    </row>
    <row r="792">
      <c r="B792" s="11"/>
      <c r="C792" s="11"/>
      <c r="D792" s="11"/>
      <c r="E792" s="11"/>
      <c r="F792" s="11"/>
      <c r="G792" s="11"/>
    </row>
    <row r="793">
      <c r="B793" s="11"/>
      <c r="C793" s="11"/>
      <c r="D793" s="11"/>
      <c r="E793" s="11"/>
      <c r="F793" s="11"/>
      <c r="G793" s="11"/>
    </row>
    <row r="794">
      <c r="B794" s="11"/>
      <c r="C794" s="11"/>
      <c r="D794" s="11"/>
      <c r="E794" s="11"/>
      <c r="F794" s="11"/>
      <c r="G794" s="11"/>
    </row>
    <row r="795">
      <c r="B795" s="11"/>
      <c r="C795" s="11"/>
      <c r="D795" s="11"/>
      <c r="E795" s="11"/>
      <c r="F795" s="11"/>
      <c r="G795" s="11"/>
    </row>
    <row r="796">
      <c r="B796" s="11"/>
      <c r="C796" s="11"/>
      <c r="D796" s="11"/>
      <c r="E796" s="11"/>
      <c r="F796" s="11"/>
      <c r="G796" s="11"/>
    </row>
    <row r="797">
      <c r="B797" s="11"/>
      <c r="C797" s="11"/>
      <c r="D797" s="11"/>
      <c r="E797" s="11"/>
      <c r="F797" s="11"/>
      <c r="G797" s="11"/>
    </row>
    <row r="798">
      <c r="B798" s="11"/>
      <c r="C798" s="11"/>
      <c r="D798" s="11"/>
      <c r="E798" s="11"/>
      <c r="F798" s="11"/>
      <c r="G798" s="11"/>
    </row>
    <row r="799">
      <c r="B799" s="11"/>
      <c r="C799" s="11"/>
      <c r="D799" s="11"/>
      <c r="E799" s="11"/>
      <c r="F799" s="11"/>
      <c r="G799" s="11"/>
    </row>
    <row r="800">
      <c r="B800" s="11"/>
      <c r="C800" s="11"/>
      <c r="D800" s="11"/>
      <c r="E800" s="11"/>
      <c r="F800" s="11"/>
      <c r="G800" s="11"/>
    </row>
    <row r="801">
      <c r="B801" s="11"/>
      <c r="C801" s="11"/>
      <c r="D801" s="11"/>
      <c r="E801" s="11"/>
      <c r="F801" s="11"/>
      <c r="G801" s="11"/>
    </row>
    <row r="802">
      <c r="B802" s="11"/>
      <c r="C802" s="11"/>
      <c r="D802" s="11"/>
      <c r="E802" s="11"/>
      <c r="F802" s="11"/>
      <c r="G802" s="11"/>
    </row>
    <row r="803">
      <c r="B803" s="11"/>
      <c r="C803" s="11"/>
      <c r="D803" s="11"/>
      <c r="E803" s="11"/>
      <c r="F803" s="11"/>
      <c r="G803" s="11"/>
    </row>
    <row r="804">
      <c r="B804" s="11"/>
      <c r="C804" s="11"/>
      <c r="D804" s="11"/>
      <c r="E804" s="11"/>
      <c r="F804" s="11"/>
      <c r="G804" s="11"/>
    </row>
    <row r="805">
      <c r="B805" s="11"/>
      <c r="C805" s="11"/>
      <c r="D805" s="11"/>
      <c r="E805" s="11"/>
      <c r="F805" s="11"/>
      <c r="G805" s="11"/>
    </row>
    <row r="806">
      <c r="B806" s="11"/>
      <c r="C806" s="11"/>
      <c r="D806" s="11"/>
      <c r="E806" s="11"/>
      <c r="F806" s="11"/>
      <c r="G806" s="11"/>
    </row>
    <row r="807">
      <c r="B807" s="11"/>
      <c r="C807" s="11"/>
      <c r="D807" s="11"/>
      <c r="E807" s="11"/>
      <c r="F807" s="11"/>
      <c r="G807" s="11"/>
    </row>
    <row r="808">
      <c r="B808" s="11"/>
      <c r="C808" s="11"/>
      <c r="D808" s="11"/>
      <c r="E808" s="11"/>
      <c r="F808" s="11"/>
      <c r="G808" s="11"/>
    </row>
    <row r="809">
      <c r="B809" s="11"/>
      <c r="C809" s="11"/>
      <c r="D809" s="11"/>
      <c r="E809" s="11"/>
      <c r="F809" s="11"/>
      <c r="G809" s="11"/>
    </row>
    <row r="810">
      <c r="B810" s="11"/>
      <c r="C810" s="11"/>
      <c r="D810" s="11"/>
      <c r="E810" s="11"/>
      <c r="F810" s="11"/>
      <c r="G810" s="11"/>
    </row>
    <row r="811">
      <c r="B811" s="11"/>
      <c r="C811" s="11"/>
      <c r="D811" s="11"/>
      <c r="E811" s="11"/>
      <c r="F811" s="11"/>
      <c r="G811" s="11"/>
    </row>
    <row r="812">
      <c r="B812" s="11"/>
      <c r="C812" s="11"/>
      <c r="D812" s="11"/>
      <c r="E812" s="11"/>
      <c r="F812" s="11"/>
      <c r="G812" s="11"/>
    </row>
    <row r="813">
      <c r="B813" s="11"/>
      <c r="C813" s="11"/>
      <c r="D813" s="11"/>
      <c r="E813" s="11"/>
      <c r="F813" s="11"/>
      <c r="G813" s="11"/>
    </row>
    <row r="814">
      <c r="B814" s="11"/>
      <c r="C814" s="11"/>
      <c r="D814" s="11"/>
      <c r="E814" s="11"/>
      <c r="F814" s="11"/>
      <c r="G814" s="11"/>
    </row>
    <row r="815">
      <c r="B815" s="11"/>
      <c r="C815" s="11"/>
      <c r="D815" s="11"/>
      <c r="E815" s="11"/>
      <c r="F815" s="11"/>
      <c r="G815" s="11"/>
    </row>
    <row r="816">
      <c r="B816" s="11"/>
      <c r="C816" s="11"/>
      <c r="D816" s="11"/>
      <c r="E816" s="11"/>
      <c r="F816" s="11"/>
      <c r="G816" s="11"/>
    </row>
    <row r="817">
      <c r="B817" s="11"/>
      <c r="C817" s="11"/>
      <c r="D817" s="11"/>
      <c r="E817" s="11"/>
      <c r="F817" s="11"/>
      <c r="G817" s="11"/>
    </row>
    <row r="818">
      <c r="B818" s="11"/>
      <c r="C818" s="11"/>
      <c r="D818" s="11"/>
      <c r="E818" s="11"/>
      <c r="F818" s="11"/>
      <c r="G818" s="11"/>
    </row>
    <row r="819">
      <c r="B819" s="11"/>
      <c r="C819" s="11"/>
      <c r="D819" s="11"/>
      <c r="E819" s="11"/>
      <c r="F819" s="11"/>
      <c r="G819" s="11"/>
    </row>
    <row r="820">
      <c r="B820" s="11"/>
      <c r="C820" s="11"/>
      <c r="D820" s="11"/>
      <c r="E820" s="11"/>
      <c r="F820" s="11"/>
      <c r="G820" s="11"/>
    </row>
    <row r="821">
      <c r="B821" s="11"/>
      <c r="C821" s="11"/>
      <c r="D821" s="11"/>
      <c r="E821" s="11"/>
      <c r="F821" s="11"/>
      <c r="G821" s="11"/>
    </row>
    <row r="822">
      <c r="B822" s="11"/>
      <c r="C822" s="11"/>
      <c r="D822" s="11"/>
      <c r="E822" s="11"/>
      <c r="F822" s="11"/>
      <c r="G822" s="11"/>
    </row>
    <row r="823">
      <c r="B823" s="11"/>
      <c r="C823" s="11"/>
      <c r="D823" s="11"/>
      <c r="E823" s="11"/>
      <c r="F823" s="11"/>
      <c r="G823" s="11"/>
    </row>
    <row r="824">
      <c r="B824" s="11"/>
      <c r="C824" s="11"/>
      <c r="D824" s="11"/>
      <c r="E824" s="11"/>
      <c r="F824" s="11"/>
      <c r="G824" s="11"/>
    </row>
    <row r="825">
      <c r="B825" s="11"/>
      <c r="C825" s="11"/>
      <c r="D825" s="11"/>
      <c r="E825" s="11"/>
      <c r="F825" s="11"/>
      <c r="G825" s="11"/>
    </row>
    <row r="826">
      <c r="B826" s="11"/>
      <c r="C826" s="11"/>
      <c r="D826" s="11"/>
      <c r="E826" s="11"/>
      <c r="F826" s="11"/>
      <c r="G826" s="11"/>
    </row>
    <row r="827">
      <c r="B827" s="11"/>
      <c r="C827" s="11"/>
      <c r="D827" s="11"/>
      <c r="E827" s="11"/>
      <c r="F827" s="11"/>
      <c r="G827" s="11"/>
    </row>
    <row r="828">
      <c r="B828" s="11"/>
      <c r="C828" s="11"/>
      <c r="D828" s="11"/>
      <c r="E828" s="11"/>
      <c r="F828" s="11"/>
      <c r="G828" s="11"/>
    </row>
    <row r="829">
      <c r="B829" s="11"/>
      <c r="C829" s="11"/>
      <c r="D829" s="11"/>
      <c r="E829" s="11"/>
      <c r="F829" s="11"/>
      <c r="G829" s="11"/>
    </row>
    <row r="830">
      <c r="B830" s="11"/>
      <c r="C830" s="11"/>
      <c r="D830" s="11"/>
      <c r="E830" s="11"/>
      <c r="F830" s="11"/>
      <c r="G830" s="11"/>
    </row>
    <row r="831">
      <c r="B831" s="11"/>
      <c r="C831" s="11"/>
      <c r="D831" s="11"/>
      <c r="E831" s="11"/>
      <c r="F831" s="11"/>
      <c r="G831" s="11"/>
    </row>
    <row r="832">
      <c r="B832" s="11"/>
      <c r="C832" s="11"/>
      <c r="D832" s="11"/>
      <c r="E832" s="11"/>
      <c r="F832" s="11"/>
      <c r="G832" s="11"/>
    </row>
    <row r="833">
      <c r="B833" s="11"/>
      <c r="C833" s="11"/>
      <c r="D833" s="11"/>
      <c r="E833" s="11"/>
      <c r="F833" s="11"/>
      <c r="G833" s="11"/>
    </row>
    <row r="834">
      <c r="B834" s="11"/>
      <c r="C834" s="11"/>
      <c r="D834" s="11"/>
      <c r="E834" s="11"/>
      <c r="F834" s="11"/>
      <c r="G834" s="11"/>
    </row>
    <row r="835">
      <c r="B835" s="11"/>
      <c r="C835" s="11"/>
      <c r="D835" s="11"/>
      <c r="E835" s="11"/>
      <c r="F835" s="11"/>
      <c r="G835" s="11"/>
    </row>
    <row r="836">
      <c r="B836" s="11"/>
      <c r="C836" s="11"/>
      <c r="D836" s="11"/>
      <c r="E836" s="11"/>
      <c r="F836" s="11"/>
      <c r="G836" s="11"/>
    </row>
    <row r="837">
      <c r="B837" s="11"/>
      <c r="C837" s="11"/>
      <c r="D837" s="11"/>
      <c r="E837" s="11"/>
      <c r="F837" s="11"/>
      <c r="G837" s="11"/>
    </row>
    <row r="838">
      <c r="B838" s="11"/>
      <c r="C838" s="11"/>
      <c r="D838" s="11"/>
      <c r="E838" s="11"/>
      <c r="F838" s="11"/>
      <c r="G838" s="11"/>
    </row>
    <row r="839">
      <c r="B839" s="11"/>
      <c r="C839" s="11"/>
      <c r="D839" s="11"/>
      <c r="E839" s="11"/>
      <c r="F839" s="11"/>
      <c r="G839" s="11"/>
    </row>
    <row r="840">
      <c r="B840" s="11"/>
      <c r="C840" s="11"/>
      <c r="D840" s="11"/>
      <c r="E840" s="11"/>
      <c r="F840" s="11"/>
      <c r="G840" s="11"/>
    </row>
    <row r="841">
      <c r="B841" s="11"/>
      <c r="C841" s="11"/>
      <c r="D841" s="11"/>
      <c r="E841" s="11"/>
      <c r="F841" s="11"/>
      <c r="G841" s="11"/>
    </row>
    <row r="842">
      <c r="B842" s="11"/>
      <c r="C842" s="11"/>
      <c r="D842" s="11"/>
      <c r="E842" s="11"/>
      <c r="F842" s="11"/>
      <c r="G842" s="11"/>
    </row>
    <row r="843">
      <c r="B843" s="11"/>
      <c r="C843" s="11"/>
      <c r="D843" s="11"/>
      <c r="E843" s="11"/>
      <c r="F843" s="11"/>
      <c r="G843" s="11"/>
    </row>
    <row r="844">
      <c r="B844" s="11"/>
      <c r="C844" s="11"/>
      <c r="D844" s="11"/>
      <c r="E844" s="11"/>
      <c r="F844" s="11"/>
      <c r="G844" s="11"/>
    </row>
    <row r="845">
      <c r="B845" s="11"/>
      <c r="C845" s="11"/>
      <c r="D845" s="11"/>
      <c r="E845" s="11"/>
      <c r="F845" s="11"/>
      <c r="G845" s="11"/>
    </row>
    <row r="846">
      <c r="B846" s="11"/>
      <c r="C846" s="11"/>
      <c r="D846" s="11"/>
      <c r="E846" s="11"/>
      <c r="F846" s="11"/>
      <c r="G846" s="11"/>
    </row>
    <row r="847">
      <c r="B847" s="11"/>
      <c r="C847" s="11"/>
      <c r="D847" s="11"/>
      <c r="E847" s="11"/>
      <c r="F847" s="11"/>
      <c r="G847" s="11"/>
    </row>
    <row r="848">
      <c r="B848" s="11"/>
      <c r="C848" s="11"/>
      <c r="D848" s="11"/>
      <c r="E848" s="11"/>
      <c r="F848" s="11"/>
      <c r="G848" s="11"/>
    </row>
    <row r="849">
      <c r="B849" s="11"/>
      <c r="C849" s="11"/>
      <c r="D849" s="11"/>
      <c r="E849" s="11"/>
      <c r="F849" s="11"/>
      <c r="G849" s="11"/>
    </row>
    <row r="850">
      <c r="B850" s="11"/>
      <c r="C850" s="11"/>
      <c r="D850" s="11"/>
      <c r="E850" s="11"/>
      <c r="F850" s="11"/>
      <c r="G850" s="11"/>
    </row>
    <row r="851">
      <c r="B851" s="11"/>
      <c r="C851" s="11"/>
      <c r="D851" s="11"/>
      <c r="E851" s="11"/>
      <c r="F851" s="11"/>
      <c r="G851" s="11"/>
    </row>
    <row r="852">
      <c r="B852" s="11"/>
      <c r="C852" s="11"/>
      <c r="D852" s="11"/>
      <c r="E852" s="11"/>
      <c r="F852" s="11"/>
      <c r="G852" s="11"/>
    </row>
    <row r="853">
      <c r="B853" s="11"/>
      <c r="C853" s="11"/>
      <c r="D853" s="11"/>
      <c r="E853" s="11"/>
      <c r="F853" s="11"/>
      <c r="G853" s="11"/>
    </row>
    <row r="854">
      <c r="B854" s="11"/>
      <c r="C854" s="11"/>
      <c r="D854" s="11"/>
      <c r="E854" s="11"/>
      <c r="F854" s="11"/>
      <c r="G854" s="11"/>
    </row>
    <row r="855">
      <c r="B855" s="11"/>
      <c r="C855" s="11"/>
      <c r="D855" s="11"/>
      <c r="E855" s="11"/>
      <c r="F855" s="11"/>
      <c r="G855" s="11"/>
    </row>
    <row r="856">
      <c r="B856" s="11"/>
      <c r="C856" s="11"/>
      <c r="D856" s="11"/>
      <c r="E856" s="11"/>
      <c r="F856" s="11"/>
      <c r="G856" s="11"/>
    </row>
    <row r="857">
      <c r="B857" s="11"/>
      <c r="C857" s="11"/>
      <c r="D857" s="11"/>
      <c r="E857" s="11"/>
      <c r="F857" s="11"/>
      <c r="G857" s="11"/>
    </row>
    <row r="858">
      <c r="B858" s="11"/>
      <c r="C858" s="11"/>
      <c r="D858" s="11"/>
      <c r="E858" s="11"/>
      <c r="F858" s="11"/>
      <c r="G858" s="11"/>
    </row>
    <row r="859">
      <c r="B859" s="11"/>
      <c r="C859" s="11"/>
      <c r="D859" s="11"/>
      <c r="E859" s="11"/>
      <c r="F859" s="11"/>
      <c r="G859" s="11"/>
    </row>
    <row r="860">
      <c r="B860" s="11"/>
      <c r="C860" s="11"/>
      <c r="D860" s="11"/>
      <c r="E860" s="11"/>
      <c r="F860" s="11"/>
      <c r="G860" s="11"/>
    </row>
    <row r="861">
      <c r="B861" s="11"/>
      <c r="C861" s="11"/>
      <c r="D861" s="11"/>
      <c r="E861" s="11"/>
      <c r="F861" s="11"/>
      <c r="G861" s="11"/>
    </row>
    <row r="862">
      <c r="B862" s="11"/>
      <c r="C862" s="11"/>
      <c r="D862" s="11"/>
      <c r="E862" s="11"/>
      <c r="F862" s="11"/>
      <c r="G862" s="11"/>
    </row>
    <row r="863">
      <c r="B863" s="11"/>
      <c r="C863" s="11"/>
      <c r="D863" s="11"/>
      <c r="E863" s="11"/>
      <c r="F863" s="11"/>
      <c r="G863" s="11"/>
    </row>
    <row r="864">
      <c r="B864" s="11"/>
      <c r="C864" s="11"/>
      <c r="D864" s="11"/>
      <c r="E864" s="11"/>
      <c r="F864" s="11"/>
      <c r="G864" s="11"/>
    </row>
    <row r="865">
      <c r="B865" s="11"/>
      <c r="C865" s="11"/>
      <c r="D865" s="11"/>
      <c r="E865" s="11"/>
      <c r="F865" s="11"/>
      <c r="G865" s="11"/>
    </row>
    <row r="866">
      <c r="B866" s="11"/>
      <c r="C866" s="11"/>
      <c r="D866" s="11"/>
      <c r="E866" s="11"/>
      <c r="F866" s="11"/>
      <c r="G866" s="11"/>
    </row>
    <row r="867">
      <c r="B867" s="11"/>
      <c r="C867" s="11"/>
      <c r="D867" s="11"/>
      <c r="E867" s="11"/>
      <c r="F867" s="11"/>
      <c r="G867" s="11"/>
    </row>
    <row r="868">
      <c r="B868" s="11"/>
      <c r="C868" s="11"/>
      <c r="D868" s="11"/>
      <c r="E868" s="11"/>
      <c r="F868" s="11"/>
      <c r="G868" s="11"/>
    </row>
    <row r="869">
      <c r="B869" s="11"/>
      <c r="C869" s="11"/>
      <c r="D869" s="11"/>
      <c r="E869" s="11"/>
      <c r="F869" s="11"/>
      <c r="G869" s="11"/>
    </row>
    <row r="870">
      <c r="B870" s="11"/>
      <c r="C870" s="11"/>
      <c r="D870" s="11"/>
      <c r="E870" s="11"/>
      <c r="F870" s="11"/>
      <c r="G870" s="11"/>
    </row>
    <row r="871">
      <c r="B871" s="11"/>
      <c r="C871" s="11"/>
      <c r="D871" s="11"/>
      <c r="E871" s="11"/>
      <c r="F871" s="11"/>
      <c r="G871" s="11"/>
    </row>
    <row r="872">
      <c r="B872" s="11"/>
      <c r="C872" s="11"/>
      <c r="D872" s="11"/>
      <c r="E872" s="11"/>
      <c r="F872" s="11"/>
      <c r="G872" s="11"/>
    </row>
    <row r="873">
      <c r="B873" s="11"/>
      <c r="C873" s="11"/>
      <c r="D873" s="11"/>
      <c r="E873" s="11"/>
      <c r="F873" s="11"/>
      <c r="G873" s="11"/>
    </row>
    <row r="874">
      <c r="B874" s="11"/>
      <c r="C874" s="11"/>
      <c r="D874" s="11"/>
      <c r="E874" s="11"/>
      <c r="F874" s="11"/>
      <c r="G874" s="11"/>
    </row>
    <row r="875">
      <c r="B875" s="11"/>
      <c r="C875" s="11"/>
      <c r="D875" s="11"/>
      <c r="E875" s="11"/>
      <c r="F875" s="11"/>
      <c r="G875" s="11"/>
    </row>
    <row r="876">
      <c r="B876" s="11"/>
      <c r="C876" s="11"/>
      <c r="D876" s="11"/>
      <c r="E876" s="11"/>
      <c r="F876" s="11"/>
      <c r="G876" s="11"/>
    </row>
    <row r="877">
      <c r="B877" s="11"/>
      <c r="C877" s="11"/>
      <c r="D877" s="11"/>
      <c r="E877" s="11"/>
      <c r="F877" s="11"/>
      <c r="G877" s="11"/>
    </row>
    <row r="878">
      <c r="B878" s="11"/>
      <c r="C878" s="11"/>
      <c r="D878" s="11"/>
      <c r="E878" s="11"/>
      <c r="F878" s="11"/>
      <c r="G878" s="11"/>
    </row>
    <row r="879">
      <c r="B879" s="11"/>
      <c r="C879" s="11"/>
      <c r="D879" s="11"/>
      <c r="E879" s="11"/>
      <c r="F879" s="11"/>
      <c r="G879" s="11"/>
    </row>
    <row r="880">
      <c r="B880" s="11"/>
      <c r="C880" s="11"/>
      <c r="D880" s="11"/>
      <c r="E880" s="11"/>
      <c r="F880" s="11"/>
      <c r="G880" s="11"/>
    </row>
    <row r="881">
      <c r="B881" s="11"/>
      <c r="C881" s="11"/>
      <c r="D881" s="11"/>
      <c r="E881" s="11"/>
      <c r="F881" s="11"/>
      <c r="G881" s="11"/>
    </row>
    <row r="882">
      <c r="B882" s="11"/>
      <c r="C882" s="11"/>
      <c r="D882" s="11"/>
      <c r="E882" s="11"/>
      <c r="F882" s="11"/>
      <c r="G882" s="11"/>
    </row>
    <row r="883">
      <c r="B883" s="11"/>
      <c r="C883" s="11"/>
      <c r="D883" s="11"/>
      <c r="E883" s="11"/>
      <c r="F883" s="11"/>
      <c r="G883" s="11"/>
    </row>
    <row r="884">
      <c r="B884" s="11"/>
      <c r="C884" s="11"/>
      <c r="D884" s="11"/>
      <c r="E884" s="11"/>
      <c r="F884" s="11"/>
      <c r="G884" s="11"/>
    </row>
    <row r="885">
      <c r="B885" s="11"/>
      <c r="C885" s="11"/>
      <c r="D885" s="11"/>
      <c r="E885" s="11"/>
      <c r="F885" s="11"/>
      <c r="G885" s="11"/>
    </row>
    <row r="886">
      <c r="B886" s="11"/>
      <c r="C886" s="11"/>
      <c r="D886" s="11"/>
      <c r="E886" s="11"/>
      <c r="F886" s="11"/>
      <c r="G886" s="11"/>
    </row>
    <row r="887">
      <c r="B887" s="11"/>
      <c r="C887" s="11"/>
      <c r="D887" s="11"/>
      <c r="E887" s="11"/>
      <c r="F887" s="11"/>
      <c r="G887" s="11"/>
    </row>
    <row r="888">
      <c r="B888" s="11"/>
      <c r="C888" s="11"/>
      <c r="D888" s="11"/>
      <c r="E888" s="11"/>
      <c r="F888" s="11"/>
      <c r="G888" s="11"/>
    </row>
    <row r="889">
      <c r="B889" s="11"/>
      <c r="C889" s="11"/>
      <c r="D889" s="11"/>
      <c r="E889" s="11"/>
      <c r="F889" s="11"/>
      <c r="G889" s="11"/>
    </row>
    <row r="890">
      <c r="B890" s="11"/>
      <c r="C890" s="11"/>
      <c r="D890" s="11"/>
      <c r="E890" s="11"/>
      <c r="F890" s="11"/>
      <c r="G890" s="11"/>
    </row>
    <row r="891">
      <c r="B891" s="11"/>
      <c r="C891" s="11"/>
      <c r="D891" s="11"/>
      <c r="E891" s="11"/>
      <c r="F891" s="11"/>
      <c r="G891" s="11"/>
    </row>
    <row r="892">
      <c r="B892" s="11"/>
      <c r="C892" s="11"/>
      <c r="D892" s="11"/>
      <c r="E892" s="11"/>
      <c r="F892" s="11"/>
      <c r="G892" s="11"/>
    </row>
    <row r="893">
      <c r="B893" s="11"/>
      <c r="C893" s="11"/>
      <c r="D893" s="11"/>
      <c r="E893" s="11"/>
      <c r="F893" s="11"/>
      <c r="G893" s="11"/>
    </row>
    <row r="894">
      <c r="B894" s="11"/>
      <c r="C894" s="11"/>
      <c r="D894" s="11"/>
      <c r="E894" s="11"/>
      <c r="F894" s="11"/>
      <c r="G894" s="11"/>
    </row>
    <row r="895">
      <c r="B895" s="11"/>
      <c r="C895" s="11"/>
      <c r="D895" s="11"/>
      <c r="E895" s="11"/>
      <c r="F895" s="11"/>
      <c r="G895" s="11"/>
    </row>
    <row r="896">
      <c r="B896" s="11"/>
      <c r="C896" s="11"/>
      <c r="D896" s="11"/>
      <c r="E896" s="11"/>
      <c r="F896" s="11"/>
      <c r="G896" s="11"/>
    </row>
    <row r="897">
      <c r="B897" s="11"/>
      <c r="C897" s="11"/>
      <c r="D897" s="11"/>
      <c r="E897" s="11"/>
      <c r="F897" s="11"/>
      <c r="G897" s="11"/>
    </row>
    <row r="898">
      <c r="B898" s="11"/>
      <c r="C898" s="11"/>
      <c r="D898" s="11"/>
      <c r="E898" s="11"/>
      <c r="F898" s="11"/>
      <c r="G898" s="11"/>
    </row>
    <row r="899">
      <c r="B899" s="11"/>
      <c r="C899" s="11"/>
      <c r="D899" s="11"/>
      <c r="E899" s="11"/>
      <c r="F899" s="11"/>
      <c r="G899" s="11"/>
    </row>
    <row r="900">
      <c r="B900" s="11"/>
      <c r="C900" s="11"/>
      <c r="D900" s="11"/>
      <c r="E900" s="11"/>
      <c r="F900" s="11"/>
      <c r="G900" s="11"/>
    </row>
    <row r="901">
      <c r="B901" s="11"/>
      <c r="C901" s="11"/>
      <c r="D901" s="11"/>
      <c r="E901" s="11"/>
      <c r="F901" s="11"/>
      <c r="G901" s="11"/>
    </row>
    <row r="902">
      <c r="B902" s="11"/>
      <c r="C902" s="11"/>
      <c r="D902" s="11"/>
      <c r="E902" s="11"/>
      <c r="F902" s="11"/>
      <c r="G902" s="11"/>
    </row>
    <row r="903">
      <c r="B903" s="11"/>
      <c r="C903" s="11"/>
      <c r="D903" s="11"/>
      <c r="E903" s="11"/>
      <c r="F903" s="11"/>
      <c r="G903" s="11"/>
    </row>
    <row r="904">
      <c r="B904" s="11"/>
      <c r="C904" s="11"/>
      <c r="D904" s="11"/>
      <c r="E904" s="11"/>
      <c r="F904" s="11"/>
      <c r="G904" s="11"/>
    </row>
    <row r="905">
      <c r="B905" s="11"/>
      <c r="C905" s="11"/>
      <c r="D905" s="11"/>
      <c r="E905" s="11"/>
      <c r="F905" s="11"/>
      <c r="G905" s="11"/>
    </row>
    <row r="906">
      <c r="B906" s="11"/>
      <c r="C906" s="11"/>
      <c r="D906" s="11"/>
      <c r="E906" s="11"/>
      <c r="F906" s="11"/>
      <c r="G906" s="11"/>
    </row>
    <row r="907">
      <c r="B907" s="11"/>
      <c r="C907" s="11"/>
      <c r="D907" s="11"/>
      <c r="E907" s="11"/>
      <c r="F907" s="11"/>
      <c r="G907" s="11"/>
    </row>
    <row r="908">
      <c r="B908" s="11"/>
      <c r="C908" s="11"/>
      <c r="D908" s="11"/>
      <c r="E908" s="11"/>
      <c r="F908" s="11"/>
      <c r="G908" s="11"/>
    </row>
    <row r="909">
      <c r="B909" s="11"/>
      <c r="C909" s="11"/>
      <c r="D909" s="11"/>
      <c r="E909" s="11"/>
      <c r="F909" s="11"/>
      <c r="G909" s="11"/>
    </row>
    <row r="910">
      <c r="B910" s="11"/>
      <c r="C910" s="11"/>
      <c r="D910" s="11"/>
      <c r="E910" s="11"/>
      <c r="F910" s="11"/>
      <c r="G910" s="11"/>
    </row>
    <row r="911">
      <c r="B911" s="11"/>
      <c r="C911" s="11"/>
      <c r="D911" s="11"/>
      <c r="E911" s="11"/>
      <c r="F911" s="11"/>
      <c r="G911" s="11"/>
    </row>
    <row r="912">
      <c r="B912" s="11"/>
      <c r="C912" s="11"/>
      <c r="D912" s="11"/>
      <c r="E912" s="11"/>
      <c r="F912" s="11"/>
      <c r="G912" s="11"/>
    </row>
    <row r="913">
      <c r="B913" s="11"/>
      <c r="C913" s="11"/>
      <c r="D913" s="11"/>
      <c r="E913" s="11"/>
      <c r="F913" s="11"/>
      <c r="G913" s="11"/>
    </row>
    <row r="914">
      <c r="B914" s="11"/>
      <c r="C914" s="11"/>
      <c r="D914" s="11"/>
      <c r="E914" s="11"/>
      <c r="F914" s="11"/>
      <c r="G914" s="11"/>
    </row>
    <row r="915">
      <c r="B915" s="11"/>
      <c r="C915" s="11"/>
      <c r="D915" s="11"/>
      <c r="E915" s="11"/>
      <c r="F915" s="11"/>
      <c r="G915" s="11"/>
    </row>
    <row r="916">
      <c r="B916" s="11"/>
      <c r="C916" s="11"/>
      <c r="D916" s="11"/>
      <c r="E916" s="11"/>
      <c r="F916" s="11"/>
      <c r="G916" s="11"/>
    </row>
    <row r="917">
      <c r="B917" s="11"/>
      <c r="C917" s="11"/>
      <c r="D917" s="11"/>
      <c r="E917" s="11"/>
      <c r="F917" s="11"/>
      <c r="G917" s="11"/>
    </row>
    <row r="918">
      <c r="B918" s="11"/>
      <c r="C918" s="11"/>
      <c r="D918" s="11"/>
      <c r="E918" s="11"/>
      <c r="F918" s="11"/>
      <c r="G918" s="11"/>
    </row>
    <row r="919">
      <c r="B919" s="11"/>
      <c r="C919" s="11"/>
      <c r="D919" s="11"/>
      <c r="E919" s="11"/>
      <c r="F919" s="11"/>
      <c r="G919" s="11"/>
    </row>
    <row r="920">
      <c r="B920" s="11"/>
      <c r="C920" s="11"/>
      <c r="D920" s="11"/>
      <c r="E920" s="11"/>
      <c r="F920" s="11"/>
      <c r="G920" s="11"/>
    </row>
    <row r="921">
      <c r="B921" s="11"/>
      <c r="C921" s="11"/>
      <c r="D921" s="11"/>
      <c r="E921" s="11"/>
      <c r="F921" s="11"/>
      <c r="G921" s="11"/>
    </row>
    <row r="922">
      <c r="B922" s="11"/>
      <c r="C922" s="11"/>
      <c r="D922" s="11"/>
      <c r="E922" s="11"/>
      <c r="F922" s="11"/>
      <c r="G922" s="11"/>
    </row>
    <row r="923">
      <c r="B923" s="11"/>
      <c r="C923" s="11"/>
      <c r="D923" s="11"/>
      <c r="E923" s="11"/>
      <c r="F923" s="11"/>
      <c r="G923" s="11"/>
    </row>
    <row r="924">
      <c r="B924" s="11"/>
      <c r="C924" s="11"/>
      <c r="D924" s="11"/>
      <c r="E924" s="11"/>
      <c r="F924" s="11"/>
      <c r="G924" s="11"/>
    </row>
    <row r="925">
      <c r="B925" s="11"/>
      <c r="C925" s="11"/>
      <c r="D925" s="11"/>
      <c r="E925" s="11"/>
      <c r="F925" s="11"/>
      <c r="G925" s="11"/>
    </row>
    <row r="926">
      <c r="B926" s="11"/>
      <c r="C926" s="11"/>
      <c r="D926" s="11"/>
      <c r="E926" s="11"/>
      <c r="F926" s="11"/>
      <c r="G926" s="11"/>
    </row>
    <row r="927">
      <c r="B927" s="11"/>
      <c r="C927" s="11"/>
      <c r="D927" s="11"/>
      <c r="E927" s="11"/>
      <c r="F927" s="11"/>
      <c r="G927" s="11"/>
    </row>
    <row r="928">
      <c r="B928" s="11"/>
      <c r="C928" s="11"/>
      <c r="D928" s="11"/>
      <c r="E928" s="11"/>
      <c r="F928" s="11"/>
      <c r="G928" s="11"/>
    </row>
    <row r="929">
      <c r="B929" s="11"/>
      <c r="C929" s="11"/>
      <c r="D929" s="11"/>
      <c r="E929" s="11"/>
      <c r="F929" s="11"/>
      <c r="G929" s="11"/>
    </row>
    <row r="930">
      <c r="B930" s="11"/>
      <c r="C930" s="11"/>
      <c r="D930" s="11"/>
      <c r="E930" s="11"/>
      <c r="F930" s="11"/>
      <c r="G930" s="11"/>
    </row>
    <row r="931">
      <c r="B931" s="11"/>
      <c r="C931" s="11"/>
      <c r="D931" s="11"/>
      <c r="E931" s="11"/>
      <c r="F931" s="11"/>
      <c r="G931" s="11"/>
    </row>
    <row r="932">
      <c r="B932" s="11"/>
      <c r="C932" s="11"/>
      <c r="D932" s="11"/>
      <c r="E932" s="11"/>
      <c r="F932" s="11"/>
      <c r="G932" s="11"/>
    </row>
    <row r="933">
      <c r="B933" s="11"/>
      <c r="C933" s="11"/>
      <c r="D933" s="11"/>
      <c r="E933" s="11"/>
      <c r="F933" s="11"/>
      <c r="G933" s="11"/>
    </row>
    <row r="934">
      <c r="B934" s="11"/>
      <c r="C934" s="11"/>
      <c r="D934" s="11"/>
      <c r="E934" s="11"/>
      <c r="F934" s="11"/>
      <c r="G934" s="11"/>
    </row>
    <row r="935">
      <c r="B935" s="11"/>
      <c r="C935" s="11"/>
      <c r="D935" s="11"/>
      <c r="E935" s="11"/>
      <c r="F935" s="11"/>
      <c r="G935" s="11"/>
    </row>
    <row r="936">
      <c r="B936" s="11"/>
      <c r="C936" s="11"/>
      <c r="D936" s="11"/>
      <c r="E936" s="11"/>
      <c r="F936" s="11"/>
      <c r="G936" s="11"/>
    </row>
    <row r="937">
      <c r="B937" s="11"/>
      <c r="C937" s="11"/>
      <c r="D937" s="11"/>
      <c r="E937" s="11"/>
      <c r="F937" s="11"/>
      <c r="G937" s="11"/>
    </row>
    <row r="938">
      <c r="B938" s="11"/>
      <c r="C938" s="11"/>
      <c r="D938" s="11"/>
      <c r="E938" s="11"/>
      <c r="F938" s="11"/>
      <c r="G938" s="11"/>
    </row>
    <row r="939">
      <c r="B939" s="11"/>
      <c r="C939" s="11"/>
      <c r="D939" s="11"/>
      <c r="E939" s="11"/>
      <c r="F939" s="11"/>
      <c r="G939" s="11"/>
    </row>
    <row r="940">
      <c r="B940" s="11"/>
      <c r="C940" s="11"/>
      <c r="D940" s="11"/>
      <c r="E940" s="11"/>
      <c r="F940" s="11"/>
      <c r="G940" s="11"/>
    </row>
    <row r="941">
      <c r="B941" s="11"/>
      <c r="C941" s="11"/>
      <c r="D941" s="11"/>
      <c r="E941" s="11"/>
      <c r="F941" s="11"/>
      <c r="G941" s="11"/>
    </row>
    <row r="942">
      <c r="B942" s="11"/>
      <c r="C942" s="11"/>
      <c r="D942" s="11"/>
      <c r="E942" s="11"/>
      <c r="F942" s="11"/>
      <c r="G942" s="11"/>
    </row>
    <row r="943">
      <c r="B943" s="11"/>
      <c r="C943" s="11"/>
      <c r="D943" s="11"/>
      <c r="E943" s="11"/>
      <c r="F943" s="11"/>
      <c r="G943" s="11"/>
    </row>
    <row r="944">
      <c r="B944" s="11"/>
      <c r="C944" s="11"/>
      <c r="D944" s="11"/>
      <c r="E944" s="11"/>
      <c r="F944" s="11"/>
      <c r="G944" s="11"/>
    </row>
    <row r="945">
      <c r="B945" s="11"/>
      <c r="C945" s="11"/>
      <c r="D945" s="11"/>
      <c r="E945" s="11"/>
      <c r="F945" s="11"/>
      <c r="G945" s="11"/>
    </row>
    <row r="946">
      <c r="B946" s="11"/>
      <c r="C946" s="11"/>
      <c r="D946" s="11"/>
      <c r="E946" s="11"/>
      <c r="F946" s="11"/>
      <c r="G946" s="11"/>
    </row>
    <row r="947">
      <c r="B947" s="11"/>
      <c r="C947" s="11"/>
      <c r="D947" s="11"/>
      <c r="E947" s="11"/>
      <c r="F947" s="11"/>
      <c r="G947" s="11"/>
    </row>
    <row r="948">
      <c r="B948" s="11"/>
      <c r="C948" s="11"/>
      <c r="D948" s="11"/>
      <c r="E948" s="11"/>
      <c r="F948" s="11"/>
      <c r="G948" s="11"/>
    </row>
    <row r="949">
      <c r="B949" s="11"/>
      <c r="C949" s="11"/>
      <c r="D949" s="11"/>
      <c r="E949" s="11"/>
      <c r="F949" s="11"/>
      <c r="G949" s="11"/>
    </row>
    <row r="950">
      <c r="B950" s="11"/>
      <c r="C950" s="11"/>
      <c r="D950" s="11"/>
      <c r="E950" s="11"/>
      <c r="F950" s="11"/>
      <c r="G950" s="11"/>
    </row>
    <row r="951">
      <c r="B951" s="11"/>
      <c r="C951" s="11"/>
      <c r="D951" s="11"/>
      <c r="E951" s="11"/>
      <c r="F951" s="11"/>
      <c r="G951" s="11"/>
    </row>
    <row r="952">
      <c r="B952" s="11"/>
      <c r="C952" s="11"/>
      <c r="D952" s="11"/>
      <c r="E952" s="11"/>
      <c r="F952" s="11"/>
      <c r="G952" s="11"/>
    </row>
    <row r="953">
      <c r="B953" s="11"/>
      <c r="C953" s="11"/>
      <c r="D953" s="11"/>
      <c r="E953" s="11"/>
      <c r="F953" s="11"/>
      <c r="G953" s="11"/>
    </row>
    <row r="954">
      <c r="B954" s="11"/>
      <c r="C954" s="11"/>
      <c r="D954" s="11"/>
      <c r="E954" s="11"/>
      <c r="F954" s="11"/>
      <c r="G954" s="11"/>
    </row>
    <row r="955">
      <c r="B955" s="11"/>
      <c r="C955" s="11"/>
      <c r="D955" s="11"/>
      <c r="E955" s="11"/>
      <c r="F955" s="11"/>
      <c r="G955" s="11"/>
    </row>
    <row r="956">
      <c r="B956" s="11"/>
      <c r="C956" s="11"/>
      <c r="D956" s="11"/>
      <c r="E956" s="11"/>
      <c r="F956" s="11"/>
      <c r="G956" s="11"/>
    </row>
    <row r="957">
      <c r="B957" s="11"/>
      <c r="C957" s="11"/>
      <c r="D957" s="11"/>
      <c r="E957" s="11"/>
      <c r="F957" s="11"/>
      <c r="G957" s="11"/>
    </row>
    <row r="958">
      <c r="B958" s="11"/>
      <c r="C958" s="11"/>
      <c r="D958" s="11"/>
      <c r="E958" s="11"/>
      <c r="F958" s="11"/>
      <c r="G958" s="11"/>
    </row>
    <row r="959">
      <c r="B959" s="11"/>
      <c r="C959" s="11"/>
      <c r="D959" s="11"/>
      <c r="E959" s="11"/>
      <c r="F959" s="11"/>
      <c r="G959" s="11"/>
    </row>
    <row r="960">
      <c r="B960" s="11"/>
      <c r="C960" s="11"/>
      <c r="D960" s="11"/>
      <c r="E960" s="11"/>
      <c r="F960" s="11"/>
      <c r="G960" s="11"/>
    </row>
    <row r="961">
      <c r="B961" s="11"/>
      <c r="C961" s="11"/>
      <c r="D961" s="11"/>
      <c r="E961" s="11"/>
      <c r="F961" s="11"/>
      <c r="G961" s="11"/>
    </row>
    <row r="962">
      <c r="B962" s="11"/>
      <c r="C962" s="11"/>
      <c r="D962" s="11"/>
      <c r="E962" s="11"/>
      <c r="F962" s="11"/>
      <c r="G962" s="11"/>
    </row>
    <row r="963">
      <c r="B963" s="11"/>
      <c r="C963" s="11"/>
      <c r="D963" s="11"/>
      <c r="E963" s="11"/>
      <c r="F963" s="11"/>
      <c r="G963" s="11"/>
    </row>
    <row r="964">
      <c r="B964" s="11"/>
      <c r="C964" s="11"/>
      <c r="D964" s="11"/>
      <c r="E964" s="11"/>
      <c r="F964" s="11"/>
      <c r="G964" s="11"/>
    </row>
    <row r="965">
      <c r="B965" s="11"/>
      <c r="C965" s="11"/>
      <c r="D965" s="11"/>
      <c r="E965" s="11"/>
      <c r="F965" s="11"/>
      <c r="G965" s="11"/>
    </row>
    <row r="966">
      <c r="B966" s="11"/>
      <c r="C966" s="11"/>
      <c r="D966" s="11"/>
      <c r="E966" s="11"/>
      <c r="F966" s="11"/>
      <c r="G966" s="11"/>
    </row>
    <row r="967">
      <c r="B967" s="11"/>
      <c r="C967" s="11"/>
      <c r="D967" s="11"/>
      <c r="E967" s="11"/>
      <c r="F967" s="11"/>
      <c r="G967" s="11"/>
    </row>
    <row r="968">
      <c r="B968" s="11"/>
      <c r="C968" s="11"/>
      <c r="D968" s="11"/>
      <c r="E968" s="11"/>
      <c r="F968" s="11"/>
      <c r="G968" s="11"/>
    </row>
    <row r="969">
      <c r="B969" s="11"/>
      <c r="C969" s="11"/>
      <c r="D969" s="11"/>
      <c r="E969" s="11"/>
      <c r="F969" s="11"/>
      <c r="G969" s="11"/>
    </row>
    <row r="970">
      <c r="B970" s="11"/>
      <c r="C970" s="11"/>
      <c r="D970" s="11"/>
      <c r="E970" s="11"/>
      <c r="F970" s="11"/>
      <c r="G970" s="11"/>
    </row>
    <row r="971">
      <c r="B971" s="11"/>
      <c r="C971" s="11"/>
      <c r="D971" s="11"/>
      <c r="E971" s="11"/>
      <c r="F971" s="11"/>
      <c r="G971" s="11"/>
    </row>
    <row r="972">
      <c r="B972" s="11"/>
      <c r="C972" s="11"/>
      <c r="D972" s="11"/>
      <c r="E972" s="11"/>
      <c r="F972" s="11"/>
      <c r="G972" s="11"/>
    </row>
    <row r="973">
      <c r="B973" s="11"/>
      <c r="C973" s="11"/>
      <c r="D973" s="11"/>
      <c r="E973" s="11"/>
      <c r="F973" s="11"/>
      <c r="G973" s="11"/>
    </row>
    <row r="974">
      <c r="B974" s="11"/>
      <c r="C974" s="11"/>
      <c r="D974" s="11"/>
      <c r="E974" s="11"/>
      <c r="F974" s="11"/>
      <c r="G974" s="11"/>
    </row>
    <row r="975">
      <c r="B975" s="11"/>
      <c r="C975" s="11"/>
      <c r="D975" s="11"/>
      <c r="E975" s="11"/>
      <c r="F975" s="11"/>
      <c r="G975" s="11"/>
    </row>
    <row r="976">
      <c r="B976" s="11"/>
      <c r="C976" s="11"/>
      <c r="D976" s="11"/>
      <c r="E976" s="11"/>
      <c r="F976" s="11"/>
      <c r="G976" s="11"/>
    </row>
    <row r="977">
      <c r="B977" s="11"/>
      <c r="C977" s="11"/>
      <c r="D977" s="11"/>
      <c r="E977" s="11"/>
      <c r="F977" s="11"/>
      <c r="G977" s="11"/>
    </row>
    <row r="978">
      <c r="B978" s="11"/>
      <c r="C978" s="11"/>
      <c r="D978" s="11"/>
      <c r="E978" s="11"/>
      <c r="F978" s="11"/>
      <c r="G978" s="11"/>
    </row>
    <row r="979">
      <c r="B979" s="11"/>
      <c r="C979" s="11"/>
      <c r="D979" s="11"/>
      <c r="E979" s="11"/>
      <c r="F979" s="11"/>
      <c r="G979" s="11"/>
    </row>
    <row r="980">
      <c r="B980" s="11"/>
      <c r="C980" s="11"/>
      <c r="D980" s="11"/>
      <c r="E980" s="11"/>
      <c r="F980" s="11"/>
      <c r="G980" s="11"/>
    </row>
    <row r="981">
      <c r="B981" s="11"/>
      <c r="C981" s="11"/>
      <c r="D981" s="11"/>
      <c r="E981" s="11"/>
      <c r="F981" s="11"/>
      <c r="G981" s="11"/>
    </row>
    <row r="982">
      <c r="B982" s="11"/>
      <c r="C982" s="11"/>
      <c r="D982" s="11"/>
      <c r="E982" s="11"/>
      <c r="F982" s="11"/>
      <c r="G982" s="11"/>
    </row>
    <row r="983">
      <c r="B983" s="11"/>
      <c r="C983" s="11"/>
      <c r="D983" s="11"/>
      <c r="E983" s="11"/>
      <c r="F983" s="11"/>
      <c r="G983" s="11"/>
    </row>
    <row r="984">
      <c r="B984" s="11"/>
      <c r="C984" s="11"/>
      <c r="D984" s="11"/>
      <c r="E984" s="11"/>
      <c r="F984" s="11"/>
      <c r="G984" s="11"/>
    </row>
    <row r="985">
      <c r="B985" s="11"/>
      <c r="C985" s="11"/>
      <c r="D985" s="11"/>
      <c r="E985" s="11"/>
      <c r="F985" s="11"/>
      <c r="G985" s="11"/>
    </row>
    <row r="986">
      <c r="B986" s="11"/>
      <c r="C986" s="11"/>
      <c r="D986" s="11"/>
      <c r="E986" s="11"/>
      <c r="F986" s="11"/>
      <c r="G986" s="11"/>
    </row>
    <row r="987">
      <c r="B987" s="11"/>
      <c r="C987" s="11"/>
      <c r="D987" s="11"/>
      <c r="E987" s="11"/>
      <c r="F987" s="11"/>
      <c r="G987" s="11"/>
    </row>
    <row r="988">
      <c r="B988" s="11"/>
      <c r="C988" s="11"/>
      <c r="D988" s="11"/>
      <c r="E988" s="11"/>
      <c r="F988" s="11"/>
      <c r="G988" s="11"/>
    </row>
    <row r="989">
      <c r="B989" s="11"/>
      <c r="C989" s="11"/>
      <c r="D989" s="11"/>
      <c r="E989" s="11"/>
      <c r="F989" s="11"/>
      <c r="G989" s="11"/>
    </row>
    <row r="990">
      <c r="B990" s="11"/>
      <c r="C990" s="11"/>
      <c r="D990" s="11"/>
      <c r="E990" s="11"/>
      <c r="F990" s="11"/>
      <c r="G990" s="11"/>
    </row>
    <row r="991">
      <c r="B991" s="11"/>
      <c r="C991" s="11"/>
      <c r="D991" s="11"/>
      <c r="E991" s="11"/>
      <c r="F991" s="11"/>
      <c r="G991" s="11"/>
    </row>
    <row r="992">
      <c r="B992" s="11"/>
      <c r="C992" s="11"/>
      <c r="D992" s="11"/>
      <c r="E992" s="11"/>
      <c r="F992" s="11"/>
      <c r="G992" s="11"/>
    </row>
    <row r="993">
      <c r="B993" s="11"/>
      <c r="C993" s="11"/>
      <c r="D993" s="11"/>
      <c r="E993" s="11"/>
      <c r="F993" s="11"/>
      <c r="G993" s="11"/>
    </row>
    <row r="994">
      <c r="B994" s="11"/>
      <c r="C994" s="11"/>
      <c r="D994" s="11"/>
      <c r="E994" s="11"/>
      <c r="F994" s="11"/>
      <c r="G994" s="11"/>
    </row>
    <row r="995">
      <c r="B995" s="11"/>
      <c r="C995" s="11"/>
      <c r="D995" s="11"/>
      <c r="E995" s="11"/>
      <c r="F995" s="11"/>
      <c r="G995" s="11"/>
    </row>
    <row r="996">
      <c r="B996" s="11"/>
      <c r="C996" s="11"/>
      <c r="D996" s="11"/>
      <c r="E996" s="11"/>
      <c r="F996" s="11"/>
      <c r="G996" s="11"/>
    </row>
    <row r="997">
      <c r="B997" s="11"/>
      <c r="C997" s="11"/>
      <c r="D997" s="11"/>
      <c r="E997" s="11"/>
      <c r="F997" s="11"/>
      <c r="G997" s="11"/>
    </row>
    <row r="998">
      <c r="B998" s="11"/>
      <c r="C998" s="11"/>
      <c r="D998" s="11"/>
      <c r="E998" s="11"/>
      <c r="F998" s="11"/>
      <c r="G998" s="11"/>
    </row>
    <row r="999">
      <c r="B999" s="11"/>
      <c r="C999" s="11"/>
      <c r="D999" s="11"/>
      <c r="E999" s="11"/>
      <c r="F999" s="11"/>
      <c r="G999" s="11"/>
    </row>
    <row r="1000">
      <c r="B1000" s="11"/>
      <c r="C1000" s="11"/>
      <c r="D1000" s="11"/>
      <c r="E1000" s="11"/>
      <c r="F1000" s="11"/>
      <c r="G1000" s="11"/>
    </row>
  </sheetData>
  <conditionalFormatting sqref="B37:L44">
    <cfRule type="cellIs" dxfId="1" priority="1" operator="greaterThan">
      <formula>"85%"</formula>
    </cfRule>
  </conditionalFormatting>
  <conditionalFormatting sqref="B32:M32">
    <cfRule type="colorScale" priority="2">
      <colorScale>
        <cfvo type="formula" val="72%"/>
        <cfvo type="max"/>
        <color rgb="FFFFFFFF"/>
        <color rgb="FF57BB8A"/>
      </colorScale>
    </cfRule>
  </conditionalFormatting>
  <conditionalFormatting sqref="B2:E34 F2:G31">
    <cfRule type="cellIs" dxfId="0" priority="3" operator="greaterThan">
      <formula>"95%"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25"/>
    <col customWidth="1" min="2" max="9" width="21.0"/>
    <col customWidth="1" min="10" max="10" width="22.88"/>
    <col customWidth="1" min="11" max="11" width="22.75"/>
    <col customWidth="1" min="12" max="12" width="21.0"/>
    <col customWidth="1" min="13" max="13" width="16.63"/>
  </cols>
  <sheetData>
    <row r="1">
      <c r="A1" s="1" t="s">
        <v>0</v>
      </c>
      <c r="B1" s="17" t="s">
        <v>83</v>
      </c>
      <c r="C1" s="18" t="s">
        <v>84</v>
      </c>
      <c r="D1" s="17" t="s">
        <v>73</v>
      </c>
      <c r="E1" s="18" t="s">
        <v>74</v>
      </c>
      <c r="F1" s="17" t="s">
        <v>85</v>
      </c>
      <c r="G1" s="18" t="s">
        <v>76</v>
      </c>
      <c r="H1" s="17" t="s">
        <v>77</v>
      </c>
      <c r="I1" s="18" t="s">
        <v>78</v>
      </c>
      <c r="J1" s="17" t="s">
        <v>79</v>
      </c>
      <c r="K1" s="18" t="s">
        <v>80</v>
      </c>
      <c r="L1" s="19" t="s">
        <v>81</v>
      </c>
      <c r="M1" s="19" t="s">
        <v>82</v>
      </c>
    </row>
    <row r="2">
      <c r="A2" s="5" t="s">
        <v>17</v>
      </c>
      <c r="B2" s="9">
        <v>0.9080826292502246</v>
      </c>
      <c r="C2" s="9">
        <v>0.002280656920016752</v>
      </c>
      <c r="D2" s="9">
        <v>0.9315592631408559</v>
      </c>
      <c r="E2" s="9">
        <v>0.021599119658569074</v>
      </c>
      <c r="F2" s="20">
        <v>0.8937156349725751</v>
      </c>
      <c r="G2" s="20">
        <v>0.018738707579975682</v>
      </c>
      <c r="H2" s="11">
        <v>0.835676215228803</v>
      </c>
      <c r="I2" s="11">
        <v>0.02668673777022415</v>
      </c>
      <c r="J2" s="11">
        <v>0.898878286328385</v>
      </c>
      <c r="K2" s="11">
        <v>0.040548926839385525</v>
      </c>
      <c r="L2" s="11">
        <f t="shared" ref="L2:L31" si="1">max(B2:G2)</f>
        <v>0.9315592631</v>
      </c>
      <c r="M2" s="11">
        <f t="shared" ref="M2:M31" si="2">max(B2:K2)</f>
        <v>0.9315592631</v>
      </c>
    </row>
    <row r="3">
      <c r="A3" s="5" t="s">
        <v>32</v>
      </c>
      <c r="B3" s="9">
        <v>0.8808471402353953</v>
      </c>
      <c r="C3" s="9">
        <v>0.029828658036980326</v>
      </c>
      <c r="D3" s="9">
        <v>0.9491934329221413</v>
      </c>
      <c r="E3" s="9">
        <v>0.00802084496085024</v>
      </c>
      <c r="F3" s="20">
        <v>0.891132308386427</v>
      </c>
      <c r="G3" s="20">
        <v>0.018006529008044826</v>
      </c>
      <c r="H3" s="11">
        <v>0.8063453815969206</v>
      </c>
      <c r="I3" s="11">
        <v>0.09708444808855918</v>
      </c>
      <c r="J3" s="11">
        <v>0.8853515526679052</v>
      </c>
      <c r="K3" s="11">
        <v>0.027221177623647078</v>
      </c>
      <c r="L3" s="11">
        <f t="shared" si="1"/>
        <v>0.9491934329</v>
      </c>
      <c r="M3" s="11">
        <f t="shared" si="2"/>
        <v>0.9491934329</v>
      </c>
    </row>
    <row r="4">
      <c r="A4" s="5" t="s">
        <v>36</v>
      </c>
      <c r="B4" s="9">
        <v>0.9186197916666666</v>
      </c>
      <c r="C4" s="9">
        <v>0.03428531854643332</v>
      </c>
      <c r="D4" s="9">
        <v>0.8972981770833334</v>
      </c>
      <c r="E4" s="9">
        <v>0.03785150875039184</v>
      </c>
      <c r="F4" s="20">
        <v>0.8919270833333334</v>
      </c>
      <c r="G4" s="20">
        <v>0.021452909605126212</v>
      </c>
      <c r="H4" s="11">
        <v>0.8733723958333334</v>
      </c>
      <c r="I4" s="11">
        <v>0.042304247157892175</v>
      </c>
      <c r="J4" s="11">
        <v>0.94140625</v>
      </c>
      <c r="K4" s="11">
        <v>0.010775427973981401</v>
      </c>
      <c r="L4" s="11">
        <f t="shared" si="1"/>
        <v>0.9186197917</v>
      </c>
      <c r="M4" s="11">
        <f t="shared" si="2"/>
        <v>0.94140625</v>
      </c>
    </row>
    <row r="5">
      <c r="A5" s="5" t="s">
        <v>39</v>
      </c>
      <c r="B5" s="9">
        <v>0.9977213541666666</v>
      </c>
      <c r="C5" s="9">
        <v>7.4586192951754E-4</v>
      </c>
      <c r="D5" s="9">
        <v>0.9988606770833334</v>
      </c>
      <c r="E5" s="9">
        <v>0.00122881419844903</v>
      </c>
      <c r="F5" s="20">
        <v>0.9978841145833334</v>
      </c>
      <c r="G5" s="20">
        <v>0.002032876952603641</v>
      </c>
      <c r="H5" s="11">
        <v>0.9918619791666666</v>
      </c>
      <c r="I5" s="11">
        <v>0.009866825889471152</v>
      </c>
      <c r="J5" s="11">
        <v>0.9934895833333334</v>
      </c>
      <c r="K5" s="11">
        <v>0.005444573139218027</v>
      </c>
      <c r="L5" s="11">
        <f t="shared" si="1"/>
        <v>0.9988606771</v>
      </c>
      <c r="M5" s="11">
        <f t="shared" si="2"/>
        <v>0.9988606771</v>
      </c>
    </row>
    <row r="6">
      <c r="A6" s="5" t="s">
        <v>41</v>
      </c>
      <c r="B6" s="9">
        <v>0.8662109375</v>
      </c>
      <c r="C6" s="9">
        <v>0.01311105623251714</v>
      </c>
      <c r="D6" s="9">
        <v>0.8240559895833334</v>
      </c>
      <c r="E6" s="9">
        <v>0.042066877314004394</v>
      </c>
      <c r="F6" s="20">
        <v>0.8385416666666666</v>
      </c>
      <c r="G6" s="20">
        <v>0.06892264680697653</v>
      </c>
      <c r="H6" s="11">
        <v>0.76416015625</v>
      </c>
      <c r="I6" s="11">
        <v>0.03768316676088816</v>
      </c>
      <c r="J6" s="11">
        <v>0.85888671875</v>
      </c>
      <c r="K6" s="11">
        <v>0.03831996905904966</v>
      </c>
      <c r="L6" s="11">
        <f t="shared" si="1"/>
        <v>0.8662109375</v>
      </c>
      <c r="M6" s="11">
        <f t="shared" si="2"/>
        <v>0.8662109375</v>
      </c>
    </row>
    <row r="7">
      <c r="A7" s="5" t="s">
        <v>44</v>
      </c>
      <c r="B7" s="9">
        <v>0.9507212687634037</v>
      </c>
      <c r="C7" s="9">
        <v>0.016324482140769706</v>
      </c>
      <c r="D7" s="9">
        <v>0.9745013024913348</v>
      </c>
      <c r="E7" s="9">
        <v>0.018290138351872688</v>
      </c>
      <c r="F7" s="20">
        <v>0.9453236118424383</v>
      </c>
      <c r="G7" s="20">
        <v>0.014724308922841114</v>
      </c>
      <c r="H7" s="11">
        <v>0.8214787453197671</v>
      </c>
      <c r="I7" s="11">
        <v>0.0828315282476104</v>
      </c>
      <c r="J7" s="11">
        <v>0.9064547868199003</v>
      </c>
      <c r="K7" s="11">
        <v>0.03883409139561067</v>
      </c>
      <c r="L7" s="11">
        <f t="shared" si="1"/>
        <v>0.9745013025</v>
      </c>
      <c r="M7" s="11">
        <f t="shared" si="2"/>
        <v>0.9745013025</v>
      </c>
    </row>
    <row r="8">
      <c r="A8" s="5" t="s">
        <v>23</v>
      </c>
      <c r="B8" s="9">
        <v>0.8154296875</v>
      </c>
      <c r="C8" s="9">
        <v>0.06075914152461828</v>
      </c>
      <c r="D8" s="9">
        <v>0.01513671875</v>
      </c>
      <c r="E8" s="9">
        <v>0.0</v>
      </c>
      <c r="F8" s="20">
        <v>0.7156575520833334</v>
      </c>
      <c r="G8" s="20">
        <v>0.11969399271088167</v>
      </c>
      <c r="H8" s="11">
        <v>0.7273763020833334</v>
      </c>
      <c r="I8" s="11">
        <v>0.07349295179693423</v>
      </c>
      <c r="J8" s="11">
        <v>0.8347981770833334</v>
      </c>
      <c r="K8" s="11">
        <v>0.05859442816447825</v>
      </c>
      <c r="L8" s="11">
        <f t="shared" si="1"/>
        <v>0.8154296875</v>
      </c>
      <c r="M8" s="11">
        <f t="shared" si="2"/>
        <v>0.8347981771</v>
      </c>
    </row>
    <row r="9">
      <c r="A9" s="5" t="s">
        <v>33</v>
      </c>
      <c r="B9" s="9">
        <v>0.9397786458333334</v>
      </c>
      <c r="C9" s="9">
        <v>0.009597345695185926</v>
      </c>
      <c r="D9" s="9">
        <v>0.953125</v>
      </c>
      <c r="E9" s="9">
        <v>0.02244500963781485</v>
      </c>
      <c r="F9" s="20">
        <v>0.91357421875</v>
      </c>
      <c r="G9" s="20">
        <v>0.017462455802976236</v>
      </c>
      <c r="H9" s="11">
        <v>0.9228515625</v>
      </c>
      <c r="I9" s="11">
        <v>0.018548261634006424</v>
      </c>
      <c r="J9" s="11">
        <v>0.9210611979166666</v>
      </c>
      <c r="K9" s="11">
        <v>0.005082192381509129</v>
      </c>
      <c r="L9" s="11">
        <f t="shared" si="1"/>
        <v>0.953125</v>
      </c>
      <c r="M9" s="11">
        <f t="shared" si="2"/>
        <v>0.953125</v>
      </c>
    </row>
    <row r="10">
      <c r="A10" s="5" t="s">
        <v>35</v>
      </c>
      <c r="B10" s="9">
        <v>0.3092447916666667</v>
      </c>
      <c r="C10" s="9">
        <v>0.021871148633243628</v>
      </c>
      <c r="D10" s="9">
        <v>0.3849283854166667</v>
      </c>
      <c r="E10" s="9">
        <v>0.04116165565129035</v>
      </c>
      <c r="F10" s="20">
        <v>0.36279296875</v>
      </c>
      <c r="G10" s="20">
        <v>0.04095745503029447</v>
      </c>
      <c r="H10" s="11">
        <v>0.3484700520833333</v>
      </c>
      <c r="I10" s="11">
        <v>0.034994246600338834</v>
      </c>
      <c r="J10" s="11">
        <v>0.24300130208333334</v>
      </c>
      <c r="K10" s="11">
        <v>0.08946390989275595</v>
      </c>
      <c r="L10" s="11">
        <f t="shared" si="1"/>
        <v>0.3849283854</v>
      </c>
      <c r="M10" s="11">
        <f t="shared" si="2"/>
        <v>0.3849283854</v>
      </c>
    </row>
    <row r="11">
      <c r="A11" s="5" t="s">
        <v>48</v>
      </c>
      <c r="B11" s="9">
        <v>0.9547526041666666</v>
      </c>
      <c r="C11" s="9">
        <v>0.002689243431292041</v>
      </c>
      <c r="D11" s="9">
        <v>0.97509765625</v>
      </c>
      <c r="E11" s="9">
        <v>0.004228639666916205</v>
      </c>
      <c r="F11" s="20">
        <v>0.94482421875</v>
      </c>
      <c r="G11" s="20">
        <v>0.019117941357863176</v>
      </c>
      <c r="H11" s="11">
        <v>0.9348958333333334</v>
      </c>
      <c r="I11" s="11">
        <v>0.0034295747893400975</v>
      </c>
      <c r="J11" s="11">
        <v>0.9415690104166666</v>
      </c>
      <c r="K11" s="11">
        <v>0.010889146278436033</v>
      </c>
      <c r="L11" s="11">
        <f t="shared" si="1"/>
        <v>0.9750976563</v>
      </c>
      <c r="M11" s="11">
        <f t="shared" si="2"/>
        <v>0.9750976563</v>
      </c>
    </row>
    <row r="12">
      <c r="A12" s="5" t="s">
        <v>49</v>
      </c>
      <c r="B12" s="9">
        <v>0.5924479166666666</v>
      </c>
      <c r="C12" s="9">
        <v>0.018486029771485248</v>
      </c>
      <c r="D12" s="9">
        <v>0.6580403645833334</v>
      </c>
      <c r="E12" s="9">
        <v>0.04157373873934034</v>
      </c>
      <c r="F12" s="20">
        <v>0.5662434895833334</v>
      </c>
      <c r="G12" s="20">
        <v>0.06117626916555901</v>
      </c>
      <c r="H12" s="11">
        <v>0.59033203125</v>
      </c>
      <c r="I12" s="11">
        <v>0.024603755248718988</v>
      </c>
      <c r="J12" s="11">
        <v>0.5958658854166666</v>
      </c>
      <c r="K12" s="11">
        <v>0.014691776167183264</v>
      </c>
      <c r="L12" s="11">
        <f t="shared" si="1"/>
        <v>0.6580403646</v>
      </c>
      <c r="M12" s="11">
        <f t="shared" si="2"/>
        <v>0.6580403646</v>
      </c>
    </row>
    <row r="13">
      <c r="A13" s="5" t="s">
        <v>37</v>
      </c>
      <c r="B13" s="9">
        <v>0.3057683308919267</v>
      </c>
      <c r="C13" s="9">
        <v>0.00470100938000855</v>
      </c>
      <c r="D13" s="9">
        <v>0.3229802449544266</v>
      </c>
      <c r="E13" s="9">
        <v>0.015991768451125266</v>
      </c>
      <c r="F13" s="20">
        <v>0.2835439046223953</v>
      </c>
      <c r="G13" s="20">
        <v>0.009991315764192056</v>
      </c>
      <c r="H13" s="11">
        <v>0.29985809326171836</v>
      </c>
      <c r="I13" s="11">
        <v>0.007121429866751849</v>
      </c>
      <c r="J13" s="11">
        <v>0.313657124837239</v>
      </c>
      <c r="K13" s="11">
        <v>0.022106210260408016</v>
      </c>
      <c r="L13" s="11">
        <f t="shared" si="1"/>
        <v>0.322980245</v>
      </c>
      <c r="M13" s="11">
        <f t="shared" si="2"/>
        <v>0.322980245</v>
      </c>
    </row>
    <row r="14">
      <c r="A14" s="5" t="s">
        <v>40</v>
      </c>
      <c r="B14" s="9">
        <v>0.8796770349454873</v>
      </c>
      <c r="C14" s="9">
        <v>0.014205998393238798</v>
      </c>
      <c r="D14" s="9">
        <v>0.8952465989227604</v>
      </c>
      <c r="E14" s="9">
        <v>0.05493125676228926</v>
      </c>
      <c r="F14" s="20">
        <v>0.9120775693954165</v>
      </c>
      <c r="G14" s="20">
        <v>0.008669428768000304</v>
      </c>
      <c r="H14" s="11">
        <v>0.8970342948564034</v>
      </c>
      <c r="I14" s="11">
        <v>0.009480588113145845</v>
      </c>
      <c r="J14" s="11">
        <v>0.9160287362185747</v>
      </c>
      <c r="K14" s="11">
        <v>0.020678137130075717</v>
      </c>
      <c r="L14" s="11">
        <f t="shared" si="1"/>
        <v>0.9120775694</v>
      </c>
      <c r="M14" s="11">
        <f t="shared" si="2"/>
        <v>0.9160287362</v>
      </c>
    </row>
    <row r="15">
      <c r="A15" s="5" t="s">
        <v>34</v>
      </c>
      <c r="B15" s="9">
        <v>0.6682942708333334</v>
      </c>
      <c r="C15" s="9">
        <v>0.17706799908236262</v>
      </c>
      <c r="D15" s="9">
        <v>0.8502604166666666</v>
      </c>
      <c r="E15" s="9">
        <v>0.11785933449869354</v>
      </c>
      <c r="F15" s="20">
        <v>0.5706380208333334</v>
      </c>
      <c r="G15" s="20">
        <v>0.18247961618514938</v>
      </c>
      <c r="H15" s="11">
        <v>0.8876953125</v>
      </c>
      <c r="I15" s="11">
        <v>0.019983771415704222</v>
      </c>
      <c r="J15" s="11">
        <v>0.806640625</v>
      </c>
      <c r="K15" s="11">
        <v>0.09813845791221054</v>
      </c>
      <c r="L15" s="11">
        <f t="shared" si="1"/>
        <v>0.8502604167</v>
      </c>
      <c r="M15" s="11">
        <f t="shared" si="2"/>
        <v>0.8876953125</v>
      </c>
    </row>
    <row r="16">
      <c r="A16" s="5" t="s">
        <v>38</v>
      </c>
      <c r="B16" s="9">
        <v>0.8582356770833334</v>
      </c>
      <c r="C16" s="9">
        <v>0.054727448903941496</v>
      </c>
      <c r="D16" s="9">
        <v>0.016438802083333332</v>
      </c>
      <c r="E16" s="9">
        <v>0.0024086342101153546</v>
      </c>
      <c r="F16" s="20">
        <v>0.8600260416666666</v>
      </c>
      <c r="G16" s="20">
        <v>0.06260735510536593</v>
      </c>
      <c r="H16" s="11">
        <v>0.7722981770833334</v>
      </c>
      <c r="I16" s="11">
        <v>0.1691352496860447</v>
      </c>
      <c r="J16" s="11">
        <v>0.8763020833333334</v>
      </c>
      <c r="K16" s="11">
        <v>0.037379303717362845</v>
      </c>
      <c r="L16" s="11">
        <f t="shared" si="1"/>
        <v>0.8600260417</v>
      </c>
      <c r="M16" s="11">
        <f t="shared" si="2"/>
        <v>0.8763020833</v>
      </c>
    </row>
    <row r="17">
      <c r="A17" s="5" t="s">
        <v>50</v>
      </c>
      <c r="B17" s="9">
        <v>0.9250535044818741</v>
      </c>
      <c r="C17" s="9">
        <v>0.007794147436345195</v>
      </c>
      <c r="D17" s="9">
        <v>0.44208706839988193</v>
      </c>
      <c r="E17" s="9">
        <v>0.24580097432183656</v>
      </c>
      <c r="F17" s="20">
        <v>0.930242205364491</v>
      </c>
      <c r="G17" s="20">
        <v>0.012573578719040801</v>
      </c>
      <c r="H17" s="11">
        <v>0.926216321592805</v>
      </c>
      <c r="I17" s="11">
        <v>0.009357386991422894</v>
      </c>
      <c r="J17" s="11">
        <v>0.9213028365738363</v>
      </c>
      <c r="K17" s="11">
        <v>0.007912163358885616</v>
      </c>
      <c r="L17" s="11">
        <f t="shared" si="1"/>
        <v>0.9302422054</v>
      </c>
      <c r="M17" s="11">
        <f t="shared" si="2"/>
        <v>0.9302422054</v>
      </c>
    </row>
    <row r="18">
      <c r="A18" s="5" t="s">
        <v>51</v>
      </c>
      <c r="B18" s="9">
        <v>0.2666015625</v>
      </c>
      <c r="C18" s="9">
        <v>0.07195648881336994</v>
      </c>
      <c r="D18" s="9">
        <v>0.4444986979166667</v>
      </c>
      <c r="E18" s="9">
        <v>0.0776126592371417</v>
      </c>
      <c r="F18" s="20">
        <v>0.4241536458333333</v>
      </c>
      <c r="G18" s="20">
        <v>0.04144450405913137</v>
      </c>
      <c r="H18" s="11">
        <v>0.10807291666666667</v>
      </c>
      <c r="I18" s="11">
        <v>0.07650968845160241</v>
      </c>
      <c r="J18" s="11">
        <v>0.24235026041666666</v>
      </c>
      <c r="K18" s="11">
        <v>0.07212086518157827</v>
      </c>
      <c r="L18" s="11">
        <f t="shared" si="1"/>
        <v>0.4444986979</v>
      </c>
      <c r="M18" s="11">
        <f t="shared" si="2"/>
        <v>0.4444986979</v>
      </c>
    </row>
    <row r="19">
      <c r="A19" s="5" t="s">
        <v>52</v>
      </c>
      <c r="B19" s="9">
        <v>0.8521016438802084</v>
      </c>
      <c r="C19" s="9">
        <v>0.00874733733922024</v>
      </c>
      <c r="D19" s="9">
        <v>0.8268839518229166</v>
      </c>
      <c r="E19" s="9">
        <v>0.0016033592070390673</v>
      </c>
      <c r="F19" s="20">
        <v>0.8591715494791666</v>
      </c>
      <c r="G19" s="20">
        <v>0.007217283563717147</v>
      </c>
      <c r="H19" s="11">
        <v>0.8622334798177084</v>
      </c>
      <c r="I19" s="11">
        <v>0.006188550505101803</v>
      </c>
      <c r="J19" s="11">
        <v>0.849090576171875</v>
      </c>
      <c r="K19" s="11">
        <v>0.0022357120248281694</v>
      </c>
      <c r="L19" s="11">
        <f t="shared" si="1"/>
        <v>0.8591715495</v>
      </c>
      <c r="M19" s="11">
        <f t="shared" si="2"/>
        <v>0.8622334798</v>
      </c>
    </row>
    <row r="20">
      <c r="A20" s="5" t="s">
        <v>53</v>
      </c>
      <c r="B20" s="9">
        <v>0.8891728719075517</v>
      </c>
      <c r="C20" s="9">
        <v>0.003933471462965422</v>
      </c>
      <c r="D20" s="9">
        <v>0.37911732991536445</v>
      </c>
      <c r="E20" s="9">
        <v>0.282774788995546</v>
      </c>
      <c r="F20" s="20">
        <v>0.8917109171549477</v>
      </c>
      <c r="G20" s="20">
        <v>0.02714253404007567</v>
      </c>
      <c r="H20" s="11">
        <v>0.8784510294596352</v>
      </c>
      <c r="I20" s="11">
        <v>0.004818983918654287</v>
      </c>
      <c r="J20" s="11">
        <v>0.889918009440104</v>
      </c>
      <c r="K20" s="11">
        <v>0.0038940143683807646</v>
      </c>
      <c r="L20" s="11">
        <f t="shared" si="1"/>
        <v>0.8917109172</v>
      </c>
      <c r="M20" s="11">
        <f t="shared" si="2"/>
        <v>0.8917109172</v>
      </c>
    </row>
    <row r="21">
      <c r="A21" s="5" t="s">
        <v>54</v>
      </c>
      <c r="B21" s="9">
        <v>0.9537760416666666</v>
      </c>
      <c r="C21" s="9">
        <v>0.014396708585609347</v>
      </c>
      <c r="D21" s="9">
        <v>0.2919921875</v>
      </c>
      <c r="E21" s="9">
        <v>0.474879309730825</v>
      </c>
      <c r="F21" s="20">
        <v>0.9306640625</v>
      </c>
      <c r="G21" s="20">
        <v>0.008471363072703844</v>
      </c>
      <c r="H21" s="11">
        <v>0.9534505208333334</v>
      </c>
      <c r="I21" s="11">
        <v>0.022356314872012676</v>
      </c>
      <c r="J21" s="11">
        <v>0.9495442708333334</v>
      </c>
      <c r="K21" s="11">
        <v>0.016152690128793085</v>
      </c>
      <c r="L21" s="11">
        <f t="shared" si="1"/>
        <v>0.9537760417</v>
      </c>
      <c r="M21" s="11">
        <f t="shared" si="2"/>
        <v>0.9537760417</v>
      </c>
    </row>
    <row r="22">
      <c r="A22" s="5" t="s">
        <v>55</v>
      </c>
      <c r="B22" s="9">
        <v>0.8932503278805536</v>
      </c>
      <c r="C22" s="9">
        <v>0.0313450304329573</v>
      </c>
      <c r="D22" s="9">
        <v>0.8060419995162019</v>
      </c>
      <c r="E22" s="9">
        <v>0.13649300703623538</v>
      </c>
      <c r="F22" s="20">
        <v>0.8974100517441183</v>
      </c>
      <c r="G22" s="20">
        <v>0.01285451696469295</v>
      </c>
      <c r="H22" s="11">
        <v>0.894508203395069</v>
      </c>
      <c r="I22" s="11">
        <v>0.0062391109004898224</v>
      </c>
      <c r="J22" s="11">
        <v>0.8907976099721617</v>
      </c>
      <c r="K22" s="11">
        <v>0.015718034973461623</v>
      </c>
      <c r="L22" s="11">
        <f t="shared" si="1"/>
        <v>0.8974100517</v>
      </c>
      <c r="M22" s="11">
        <f t="shared" si="2"/>
        <v>0.8974100517</v>
      </c>
    </row>
    <row r="23">
      <c r="A23" s="5" t="s">
        <v>43</v>
      </c>
      <c r="B23" s="9">
        <v>0.8318684895833334</v>
      </c>
      <c r="C23" s="9">
        <v>0.021408409139702638</v>
      </c>
      <c r="D23" s="9">
        <v>0.85595703125</v>
      </c>
      <c r="E23" s="9">
        <v>0.024516387130142953</v>
      </c>
      <c r="F23" s="20">
        <v>0.8741861979166666</v>
      </c>
      <c r="G23" s="20">
        <v>0.03419828363168046</v>
      </c>
      <c r="H23" s="11">
        <v>0.8512369791666666</v>
      </c>
      <c r="I23" s="11">
        <v>0.037174635940818004</v>
      </c>
      <c r="J23" s="11">
        <v>0.8771158854166666</v>
      </c>
      <c r="K23" s="11">
        <v>0.04549757770057066</v>
      </c>
      <c r="L23" s="11">
        <f t="shared" si="1"/>
        <v>0.8741861979</v>
      </c>
      <c r="M23" s="11">
        <f t="shared" si="2"/>
        <v>0.8771158854</v>
      </c>
    </row>
    <row r="24">
      <c r="A24" s="5" t="s">
        <v>56</v>
      </c>
      <c r="B24" s="9">
        <v>0.52392578125</v>
      </c>
      <c r="C24" s="9">
        <v>0.12560981772617977</v>
      </c>
      <c r="D24" s="9">
        <v>0.01806640625</v>
      </c>
      <c r="E24" s="9">
        <v>0.0</v>
      </c>
      <c r="F24" s="20">
        <v>0.3580729166666667</v>
      </c>
      <c r="G24" s="20">
        <v>0.06798399538673414</v>
      </c>
      <c r="H24" s="11">
        <v>0.01123046875</v>
      </c>
      <c r="I24" s="11">
        <v>0.0071928319641876145</v>
      </c>
      <c r="J24" s="11">
        <v>0.12076822916666667</v>
      </c>
      <c r="K24" s="11">
        <v>0.08345087027609262</v>
      </c>
      <c r="L24" s="11">
        <f t="shared" si="1"/>
        <v>0.5239257813</v>
      </c>
      <c r="M24" s="11">
        <f t="shared" si="2"/>
        <v>0.5239257813</v>
      </c>
    </row>
    <row r="25">
      <c r="A25" s="5" t="s">
        <v>57</v>
      </c>
      <c r="B25" s="9">
        <v>0.7396992110453647</v>
      </c>
      <c r="C25" s="9">
        <v>0.020350006170965426</v>
      </c>
      <c r="D25" s="9">
        <v>0.7512352071005913</v>
      </c>
      <c r="E25" s="9">
        <v>0.05543256240458572</v>
      </c>
      <c r="F25" s="20">
        <v>0.7354561143984216</v>
      </c>
      <c r="G25" s="20">
        <v>0.017209747793972652</v>
      </c>
      <c r="H25" s="11">
        <v>0.7449457593688357</v>
      </c>
      <c r="I25" s="11">
        <v>0.031033699918763067</v>
      </c>
      <c r="J25" s="11">
        <v>0.759709072978303</v>
      </c>
      <c r="K25" s="11">
        <v>0.024978944440809104</v>
      </c>
      <c r="L25" s="11">
        <f t="shared" si="1"/>
        <v>0.7512352071</v>
      </c>
      <c r="M25" s="11">
        <f t="shared" si="2"/>
        <v>0.759709073</v>
      </c>
    </row>
    <row r="26">
      <c r="A26" s="5" t="s">
        <v>58</v>
      </c>
      <c r="B26" s="9">
        <v>0.008463541666666666</v>
      </c>
      <c r="C26" s="9">
        <v>0.0051288903830041446</v>
      </c>
      <c r="D26" s="9">
        <v>0.01318359375</v>
      </c>
      <c r="E26" s="9">
        <v>0.006000100452853764</v>
      </c>
      <c r="F26" s="20">
        <v>0.0013020833333333333</v>
      </c>
      <c r="G26" s="20">
        <v>0.0012288141984490152</v>
      </c>
      <c r="H26" s="11">
        <v>0.004557291666666667</v>
      </c>
      <c r="I26" s="11">
        <v>0.0041527834707594646</v>
      </c>
      <c r="J26" s="11">
        <v>0.011393229166666666</v>
      </c>
      <c r="K26" s="11">
        <v>0.010611929240041042</v>
      </c>
      <c r="L26" s="11">
        <f t="shared" si="1"/>
        <v>0.01318359375</v>
      </c>
      <c r="M26" s="11">
        <f t="shared" si="2"/>
        <v>0.01318359375</v>
      </c>
    </row>
    <row r="27">
      <c r="A27" s="5" t="s">
        <v>42</v>
      </c>
      <c r="B27" s="9">
        <v>0.88232421875</v>
      </c>
      <c r="C27" s="9">
        <v>0.03444719536026811</v>
      </c>
      <c r="D27" s="9">
        <v>0.01513671875</v>
      </c>
      <c r="E27" s="9">
        <v>0.0</v>
      </c>
      <c r="F27" s="20">
        <v>0.8701171875</v>
      </c>
      <c r="G27" s="20">
        <v>0.02911728811694448</v>
      </c>
      <c r="H27" s="11">
        <v>0.810546875</v>
      </c>
      <c r="I27" s="11">
        <v>0.1013709977156013</v>
      </c>
      <c r="J27" s="11">
        <v>0.8938802083333334</v>
      </c>
      <c r="K27" s="11">
        <v>0.03242324764915583</v>
      </c>
      <c r="L27" s="11">
        <f t="shared" si="1"/>
        <v>0.8823242188</v>
      </c>
      <c r="M27" s="11">
        <f t="shared" si="2"/>
        <v>0.8938802083</v>
      </c>
    </row>
    <row r="28">
      <c r="A28" s="5" t="s">
        <v>46</v>
      </c>
      <c r="B28" s="9">
        <v>0.8584618432881853</v>
      </c>
      <c r="C28" s="9">
        <v>0.003582446492370133</v>
      </c>
      <c r="D28" s="9">
        <v>0.9715618415686994</v>
      </c>
      <c r="E28" s="9">
        <v>0.0018492252552270037</v>
      </c>
      <c r="F28" s="20">
        <v>0.8478980578310686</v>
      </c>
      <c r="G28" s="20">
        <v>0.009056611965316824</v>
      </c>
      <c r="H28" s="11">
        <v>0.8502030664624923</v>
      </c>
      <c r="I28" s="11">
        <v>0.009664289199559289</v>
      </c>
      <c r="J28" s="11">
        <v>0.855829421897664</v>
      </c>
      <c r="K28" s="11">
        <v>0.009050563021000754</v>
      </c>
      <c r="L28" s="11">
        <f t="shared" si="1"/>
        <v>0.9715618416</v>
      </c>
      <c r="M28" s="11">
        <f t="shared" si="2"/>
        <v>0.9715618416</v>
      </c>
    </row>
    <row r="29">
      <c r="A29" s="5" t="s">
        <v>59</v>
      </c>
      <c r="B29" s="9">
        <v>0.4016927083333333</v>
      </c>
      <c r="C29" s="9">
        <v>0.1380043259831793</v>
      </c>
      <c r="D29" s="9">
        <v>0.3733723958333333</v>
      </c>
      <c r="E29" s="9">
        <v>0.036429620971662566</v>
      </c>
      <c r="F29" s="20">
        <v>0.5030924479166666</v>
      </c>
      <c r="G29" s="20">
        <v>0.043843016063866966</v>
      </c>
      <c r="H29" s="11">
        <v>0.4386393229166667</v>
      </c>
      <c r="I29" s="11">
        <v>0.038404905978038355</v>
      </c>
      <c r="J29" s="11">
        <v>0.5013020833333334</v>
      </c>
      <c r="K29" s="11">
        <v>0.05332409818482573</v>
      </c>
      <c r="L29" s="11">
        <f t="shared" si="1"/>
        <v>0.5030924479</v>
      </c>
      <c r="M29" s="11">
        <f t="shared" si="2"/>
        <v>0.5030924479</v>
      </c>
    </row>
    <row r="30">
      <c r="A30" s="5" t="s">
        <v>47</v>
      </c>
      <c r="B30" s="9">
        <v>0.8638141441928147</v>
      </c>
      <c r="C30" s="9">
        <v>0.021155029102156747</v>
      </c>
      <c r="D30" s="9">
        <v>0.9192365088493459</v>
      </c>
      <c r="E30" s="9">
        <v>0.03263908225012346</v>
      </c>
      <c r="F30" s="20">
        <v>0.8596906924729893</v>
      </c>
      <c r="G30" s="20">
        <v>0.023369148428478512</v>
      </c>
      <c r="H30" s="11">
        <v>0.8616777481468171</v>
      </c>
      <c r="I30" s="11">
        <v>0.017898267892854945</v>
      </c>
      <c r="J30" s="11">
        <v>0.8532119620774731</v>
      </c>
      <c r="K30" s="11">
        <v>0.025947550838181118</v>
      </c>
      <c r="L30" s="11">
        <f t="shared" si="1"/>
        <v>0.9192365088</v>
      </c>
      <c r="M30" s="11">
        <f t="shared" si="2"/>
        <v>0.9192365088</v>
      </c>
    </row>
    <row r="31">
      <c r="A31" s="5" t="s">
        <v>60</v>
      </c>
      <c r="B31" s="9">
        <v>0.80419921875</v>
      </c>
      <c r="C31" s="9">
        <v>0.013924579327733593</v>
      </c>
      <c r="D31" s="9">
        <v>0.8277994791666666</v>
      </c>
      <c r="E31" s="9">
        <v>0.021498704235448807</v>
      </c>
      <c r="F31" s="20">
        <v>0.7886555989583334</v>
      </c>
      <c r="G31" s="20">
        <v>0.006669702633353783</v>
      </c>
      <c r="H31" s="11">
        <v>0.788818359375</v>
      </c>
      <c r="I31" s="11">
        <v>0.02649685096024292</v>
      </c>
      <c r="J31" s="11">
        <v>0.81494140625</v>
      </c>
      <c r="K31" s="11">
        <v>0.02529065920621123</v>
      </c>
      <c r="L31" s="11">
        <f t="shared" si="1"/>
        <v>0.8277994792</v>
      </c>
      <c r="M31" s="11">
        <f t="shared" si="2"/>
        <v>0.8277994792</v>
      </c>
    </row>
    <row r="32">
      <c r="A32" s="12" t="s">
        <v>45</v>
      </c>
      <c r="B32" s="9">
        <v>0.7513412396782108</v>
      </c>
      <c r="C32" s="9">
        <v>0.0073795950902377965</v>
      </c>
      <c r="D32" s="9">
        <v>0.6194297815840396</v>
      </c>
      <c r="E32" s="9">
        <v>0.030191449134242265</v>
      </c>
      <c r="F32" s="15">
        <v>0.7453242044429819</v>
      </c>
      <c r="G32" s="15">
        <v>0.01092162902026961</v>
      </c>
      <c r="H32" s="15">
        <v>0.7152831624988436</v>
      </c>
      <c r="I32" s="15">
        <v>0.007163514906004931</v>
      </c>
      <c r="J32" s="15">
        <v>0.7454848794077807</v>
      </c>
      <c r="K32" s="15">
        <v>0.008081348462627848</v>
      </c>
      <c r="L32" s="15">
        <f t="shared" ref="L32:M32" si="3">AVERAGE(L2:L31)</f>
        <v>0.7871421837</v>
      </c>
      <c r="M32" s="15">
        <f t="shared" si="3"/>
        <v>0.7913368012</v>
      </c>
    </row>
    <row r="33">
      <c r="A33" s="12" t="s">
        <v>61</v>
      </c>
      <c r="B33" s="9">
        <v>0.25634763336963023</v>
      </c>
      <c r="C33" s="9">
        <v>0.0041080814653238025</v>
      </c>
      <c r="D33" s="9">
        <v>0.3658672661111189</v>
      </c>
      <c r="E33" s="9">
        <v>0.019582109262751033</v>
      </c>
      <c r="F33" s="15">
        <v>0.24960140414824114</v>
      </c>
      <c r="G33" s="15">
        <v>0.0041061960353534445</v>
      </c>
      <c r="H33" s="15">
        <v>0.2858778150608556</v>
      </c>
      <c r="I33" s="15">
        <v>0.006185499105526102</v>
      </c>
      <c r="J33" s="15">
        <v>0.27774295204076677</v>
      </c>
      <c r="K33" s="15">
        <v>0.005791594711488347</v>
      </c>
      <c r="L33" s="15">
        <f t="shared" ref="L33:M33" si="4">_xlfn.STDEV.S(L2:L31)</f>
        <v>0.2383132822</v>
      </c>
      <c r="M33" s="15">
        <f t="shared" si="4"/>
        <v>0.239754945</v>
      </c>
    </row>
    <row r="34">
      <c r="A34" s="12" t="s">
        <v>62</v>
      </c>
      <c r="B34" s="9">
        <v>0.858092914798586</v>
      </c>
      <c r="C34" s="9">
        <v>0.007840802576255983</v>
      </c>
      <c r="D34" s="9">
        <v>0.7979746476574056</v>
      </c>
      <c r="E34" s="9">
        <v>0.027958558922821442</v>
      </c>
      <c r="F34" s="15">
        <v>0.860956369229735</v>
      </c>
      <c r="G34" s="15">
        <v>0.011218634347913132</v>
      </c>
      <c r="H34" s="15">
        <v>0.8427633037094079</v>
      </c>
      <c r="I34" s="15">
        <v>0.010818710537687569</v>
      </c>
      <c r="J34" s="15">
        <v>0.8685025772001791</v>
      </c>
      <c r="K34" s="15">
        <v>0.005261106844119416</v>
      </c>
      <c r="L34" s="15">
        <f t="shared" ref="L34:M34" si="5">MEDIAN(L2:L31)</f>
        <v>0.8782552083</v>
      </c>
      <c r="M34" s="15">
        <f t="shared" si="5"/>
        <v>0.8897031148</v>
      </c>
    </row>
    <row r="35">
      <c r="A35" s="13"/>
      <c r="B35" s="11"/>
      <c r="C35" s="11"/>
      <c r="D35" s="11"/>
      <c r="E35" s="11"/>
      <c r="F35" s="11"/>
      <c r="G35" s="11"/>
    </row>
    <row r="36">
      <c r="A36" s="13"/>
      <c r="B36" s="11"/>
      <c r="C36" s="11"/>
      <c r="D36" s="11"/>
      <c r="E36" s="11"/>
      <c r="F36" s="11"/>
      <c r="G36" s="11"/>
    </row>
    <row r="37">
      <c r="A37" s="12" t="s">
        <v>63</v>
      </c>
      <c r="B37" s="15">
        <f>B12</f>
        <v>0.5924479167</v>
      </c>
      <c r="C37" s="15"/>
      <c r="D37" s="15">
        <f>D12</f>
        <v>0.6580403646</v>
      </c>
      <c r="E37" s="15"/>
      <c r="F37" s="15">
        <f>F12</f>
        <v>0.5662434896</v>
      </c>
      <c r="G37" s="15"/>
      <c r="H37" s="15">
        <f>H12</f>
        <v>0.5903320313</v>
      </c>
      <c r="I37" s="15"/>
      <c r="J37" s="15">
        <f>J12</f>
        <v>0.5958658854</v>
      </c>
      <c r="K37" s="15"/>
      <c r="L37" s="15">
        <f>L12</f>
        <v>0.6580403646</v>
      </c>
    </row>
    <row r="38">
      <c r="A38" s="12" t="s">
        <v>64</v>
      </c>
      <c r="B38" s="15">
        <f>(B19+B20+B25)/3</f>
        <v>0.8269912423</v>
      </c>
      <c r="C38" s="15"/>
      <c r="D38" s="15">
        <f>(D19+D20+D25)/3</f>
        <v>0.6524121629</v>
      </c>
      <c r="E38" s="15"/>
      <c r="F38" s="15">
        <f>(F19+F20+F25)/3</f>
        <v>0.828779527</v>
      </c>
      <c r="G38" s="15"/>
      <c r="H38" s="15">
        <f>(H19+H20+H25)/3</f>
        <v>0.8285434229</v>
      </c>
      <c r="I38" s="15"/>
      <c r="J38" s="15">
        <f>(J19+J20+J25)/3</f>
        <v>0.8329058862</v>
      </c>
      <c r="K38" s="15"/>
      <c r="L38" s="15">
        <f>(L19+L20+L25)/3</f>
        <v>0.8340392246</v>
      </c>
    </row>
    <row r="39">
      <c r="A39" s="12" t="s">
        <v>65</v>
      </c>
      <c r="B39" s="15">
        <f>(B14+B17+B28)/3</f>
        <v>0.8877307942</v>
      </c>
      <c r="C39" s="15"/>
      <c r="D39" s="15">
        <f>(D14+D17+D28)/3</f>
        <v>0.7696318363</v>
      </c>
      <c r="E39" s="15"/>
      <c r="F39" s="15">
        <f>(F14+F17+F28)/3</f>
        <v>0.8967392775</v>
      </c>
      <c r="G39" s="15"/>
      <c r="H39" s="15">
        <f>(H14+H17+H28)/3</f>
        <v>0.8911512276</v>
      </c>
      <c r="I39" s="15"/>
      <c r="J39" s="15">
        <f>(J14+J17+J28)/3</f>
        <v>0.8977203316</v>
      </c>
      <c r="K39" s="15"/>
      <c r="L39" s="15">
        <f>(L14+L17+L28)/3</f>
        <v>0.9379605388</v>
      </c>
    </row>
    <row r="40">
      <c r="A40" s="12" t="s">
        <v>66</v>
      </c>
      <c r="B40" s="15">
        <f>(B3+B4+B5+B7+B9+B10+B11+B13+B22+B23+B29+B31)/12</f>
        <v>0.7657053893</v>
      </c>
      <c r="C40" s="15"/>
      <c r="D40" s="15">
        <f>(D3+D4+D5+D7+D9+D10+D11+D13+D22+D23+D29+D31)/12</f>
        <v>0.7765963152</v>
      </c>
      <c r="E40" s="15"/>
      <c r="F40" s="15">
        <f>(F3+F4+F5+F7+F9+F10+F11+F13+F22+F23+F29+F31)/12</f>
        <v>0.7745288938</v>
      </c>
      <c r="G40" s="15"/>
      <c r="H40" s="15">
        <f>(H3+H4+H5+H7+H9+H10+H11+H13+H22+H23+H29+H31)/12</f>
        <v>0.7476947423</v>
      </c>
      <c r="I40" s="15"/>
      <c r="J40" s="15">
        <f>(J3+J4+J5+J7+J9+J10+J11+J13+J22+J23+J29+J31)/12</f>
        <v>0.7691789828</v>
      </c>
      <c r="K40" s="15"/>
      <c r="L40" s="15">
        <f>(L3+L4+L5+L7+L9+L10+L11+L13+L22+L23+L29+L31)/12</f>
        <v>0.7983162223</v>
      </c>
    </row>
    <row r="41">
      <c r="A41" s="12" t="s">
        <v>67</v>
      </c>
      <c r="B41" s="15">
        <f>(B2+B30)/2</f>
        <v>0.8859483867</v>
      </c>
      <c r="C41" s="15"/>
      <c r="D41" s="15">
        <f>(D2+D30)/2</f>
        <v>0.925397886</v>
      </c>
      <c r="E41" s="15"/>
      <c r="F41" s="15">
        <f>(F2+F30)/2</f>
        <v>0.8767031637</v>
      </c>
      <c r="G41" s="15"/>
      <c r="H41" s="15">
        <f>(H2+H30)/2</f>
        <v>0.8486769817</v>
      </c>
      <c r="I41" s="15"/>
      <c r="J41" s="15">
        <f>(J2+J30)/2</f>
        <v>0.8760451242</v>
      </c>
      <c r="K41" s="15"/>
      <c r="L41" s="15">
        <f>(L2+L30)/2</f>
        <v>0.925397886</v>
      </c>
    </row>
    <row r="42">
      <c r="A42" s="12" t="s">
        <v>68</v>
      </c>
      <c r="B42" s="15">
        <f>(B6+B21+B26)/3</f>
        <v>0.6094835069</v>
      </c>
      <c r="C42" s="15"/>
      <c r="D42" s="15">
        <f>(D6+D21+D26)/3</f>
        <v>0.3764105903</v>
      </c>
      <c r="E42" s="15"/>
      <c r="F42" s="15">
        <f>(F6+F21+F26)/3</f>
        <v>0.5901692708</v>
      </c>
      <c r="G42" s="15"/>
      <c r="H42" s="15">
        <f>(H6+H21+H26)/3</f>
        <v>0.5740559896</v>
      </c>
      <c r="I42" s="15"/>
      <c r="J42" s="15">
        <f>(J6+J21+J26)/3</f>
        <v>0.6066080729</v>
      </c>
      <c r="K42" s="15"/>
      <c r="L42" s="15">
        <f>(L6+L21+L26)/3</f>
        <v>0.6110568576</v>
      </c>
    </row>
    <row r="43">
      <c r="A43" s="12" t="s">
        <v>69</v>
      </c>
      <c r="B43" s="15">
        <f>(B8+B15+B16+B27)/4</f>
        <v>0.8060709635</v>
      </c>
      <c r="C43" s="15"/>
      <c r="D43" s="15">
        <f>(D8+D15+D16+D27)/4</f>
        <v>0.2242431641</v>
      </c>
      <c r="E43" s="15"/>
      <c r="F43" s="15">
        <f>(F8+F15+F16+F27)/4</f>
        <v>0.7541097005</v>
      </c>
      <c r="G43" s="15"/>
      <c r="H43" s="15">
        <f>(H8+H15+H16+H27)/4</f>
        <v>0.7994791667</v>
      </c>
      <c r="I43" s="15"/>
      <c r="J43" s="15">
        <f>(J8+J15+J16+J27)/4</f>
        <v>0.8529052734</v>
      </c>
      <c r="K43" s="15"/>
      <c r="L43" s="15">
        <f>(L8+L15+L16+L27)/4</f>
        <v>0.8520100911</v>
      </c>
    </row>
    <row r="44">
      <c r="A44" s="12" t="s">
        <v>70</v>
      </c>
      <c r="B44" s="15">
        <f>(B18+B24)/2</f>
        <v>0.3952636719</v>
      </c>
      <c r="C44" s="15"/>
      <c r="D44" s="15">
        <f>(D18+D24)/2</f>
        <v>0.2312825521</v>
      </c>
      <c r="E44" s="15"/>
      <c r="F44" s="15">
        <f>(F18+F24)/2</f>
        <v>0.3911132813</v>
      </c>
      <c r="G44" s="15"/>
      <c r="H44" s="15">
        <f>(H18+H24)/2</f>
        <v>0.05965169271</v>
      </c>
      <c r="I44" s="15"/>
      <c r="J44" s="15">
        <f>(J18+J24)/2</f>
        <v>0.1815592448</v>
      </c>
      <c r="K44" s="15"/>
      <c r="L44" s="15">
        <f>(L18+L24)/2</f>
        <v>0.4842122396</v>
      </c>
    </row>
    <row r="45">
      <c r="A45" s="13"/>
      <c r="B45" s="11"/>
      <c r="C45" s="11"/>
      <c r="D45" s="11"/>
      <c r="E45" s="11"/>
      <c r="F45" s="11"/>
      <c r="G45" s="11"/>
    </row>
    <row r="46">
      <c r="A46" s="13"/>
      <c r="B46" s="11"/>
      <c r="C46" s="11"/>
      <c r="D46" s="11"/>
      <c r="E46" s="11"/>
      <c r="F46" s="11"/>
      <c r="G46" s="11"/>
    </row>
    <row r="47">
      <c r="B47" s="11"/>
      <c r="C47" s="11"/>
      <c r="D47" s="11"/>
      <c r="E47" s="11"/>
      <c r="F47" s="11"/>
      <c r="G47" s="11"/>
    </row>
    <row r="48">
      <c r="B48" s="11"/>
      <c r="C48" s="11"/>
      <c r="D48" s="11"/>
      <c r="E48" s="11"/>
      <c r="F48" s="11"/>
      <c r="G48" s="11"/>
    </row>
    <row r="49">
      <c r="B49" s="11"/>
      <c r="C49" s="11"/>
      <c r="D49" s="11"/>
      <c r="E49" s="11"/>
      <c r="F49" s="11"/>
      <c r="G49" s="11"/>
    </row>
    <row r="50">
      <c r="B50" s="11"/>
      <c r="C50" s="11"/>
      <c r="D50" s="11"/>
      <c r="E50" s="11"/>
      <c r="F50" s="11"/>
      <c r="G50" s="11"/>
    </row>
    <row r="51">
      <c r="B51" s="11"/>
      <c r="C51" s="11"/>
      <c r="D51" s="11"/>
      <c r="E51" s="11"/>
      <c r="F51" s="11"/>
      <c r="G51" s="11"/>
    </row>
    <row r="52">
      <c r="B52" s="11"/>
      <c r="C52" s="11"/>
      <c r="D52" s="11"/>
      <c r="E52" s="11"/>
      <c r="F52" s="11"/>
      <c r="G52" s="11"/>
    </row>
    <row r="53">
      <c r="B53" s="11"/>
      <c r="C53" s="11"/>
      <c r="D53" s="11"/>
      <c r="E53" s="11"/>
      <c r="F53" s="11"/>
      <c r="G53" s="11"/>
    </row>
    <row r="54">
      <c r="B54" s="11"/>
      <c r="C54" s="11"/>
      <c r="D54" s="11"/>
      <c r="E54" s="11"/>
      <c r="F54" s="11"/>
      <c r="G54" s="11"/>
    </row>
    <row r="55">
      <c r="B55" s="11"/>
      <c r="C55" s="11"/>
      <c r="D55" s="11"/>
      <c r="E55" s="11"/>
      <c r="F55" s="11"/>
      <c r="G55" s="11"/>
    </row>
    <row r="56">
      <c r="B56" s="11"/>
      <c r="C56" s="11"/>
      <c r="D56" s="11"/>
      <c r="E56" s="11"/>
      <c r="F56" s="11"/>
      <c r="G56" s="11"/>
    </row>
    <row r="57">
      <c r="B57" s="11"/>
      <c r="C57" s="11"/>
      <c r="D57" s="11"/>
      <c r="E57" s="11"/>
      <c r="F57" s="11"/>
      <c r="G57" s="11"/>
    </row>
    <row r="58">
      <c r="B58" s="11"/>
      <c r="C58" s="11"/>
      <c r="D58" s="11"/>
      <c r="E58" s="11"/>
      <c r="F58" s="11"/>
      <c r="G58" s="11"/>
    </row>
    <row r="59">
      <c r="B59" s="11"/>
      <c r="C59" s="11"/>
      <c r="D59" s="11"/>
      <c r="E59" s="11"/>
      <c r="F59" s="11"/>
      <c r="G59" s="11"/>
    </row>
    <row r="60">
      <c r="B60" s="11"/>
      <c r="C60" s="11"/>
      <c r="D60" s="11"/>
      <c r="E60" s="11"/>
      <c r="F60" s="11"/>
      <c r="G60" s="11"/>
    </row>
    <row r="61">
      <c r="B61" s="11"/>
      <c r="C61" s="11"/>
      <c r="D61" s="11"/>
      <c r="E61" s="11"/>
      <c r="F61" s="11"/>
      <c r="G61" s="11"/>
    </row>
    <row r="62">
      <c r="B62" s="11"/>
      <c r="C62" s="11"/>
      <c r="D62" s="11"/>
      <c r="E62" s="11"/>
      <c r="F62" s="11"/>
      <c r="G62" s="11"/>
    </row>
    <row r="63">
      <c r="B63" s="11"/>
      <c r="C63" s="11"/>
      <c r="D63" s="11"/>
      <c r="E63" s="11"/>
      <c r="F63" s="11"/>
      <c r="G63" s="11"/>
    </row>
    <row r="64">
      <c r="B64" s="11"/>
      <c r="C64" s="11"/>
      <c r="D64" s="11"/>
      <c r="E64" s="11"/>
      <c r="F64" s="11"/>
      <c r="G64" s="11"/>
    </row>
    <row r="65">
      <c r="B65" s="11"/>
      <c r="C65" s="11"/>
      <c r="D65" s="11"/>
      <c r="E65" s="11"/>
      <c r="F65" s="11"/>
      <c r="G65" s="11"/>
    </row>
    <row r="66">
      <c r="B66" s="11"/>
      <c r="C66" s="11"/>
      <c r="D66" s="11"/>
      <c r="E66" s="11"/>
      <c r="F66" s="11"/>
      <c r="G66" s="11"/>
    </row>
    <row r="67">
      <c r="B67" s="11"/>
      <c r="C67" s="11"/>
      <c r="D67" s="11"/>
      <c r="E67" s="11"/>
      <c r="F67" s="11"/>
      <c r="G67" s="11"/>
    </row>
    <row r="68">
      <c r="B68" s="11"/>
      <c r="C68" s="11"/>
      <c r="D68" s="11"/>
      <c r="E68" s="11"/>
      <c r="F68" s="11"/>
      <c r="G68" s="11"/>
    </row>
    <row r="69">
      <c r="B69" s="11"/>
      <c r="C69" s="11"/>
      <c r="D69" s="11"/>
      <c r="E69" s="11"/>
      <c r="F69" s="11"/>
      <c r="G69" s="11"/>
    </row>
    <row r="70">
      <c r="B70" s="11"/>
      <c r="C70" s="11"/>
      <c r="D70" s="11"/>
      <c r="E70" s="11"/>
      <c r="F70" s="11"/>
      <c r="G70" s="11"/>
    </row>
    <row r="71">
      <c r="B71" s="11"/>
      <c r="C71" s="11"/>
      <c r="D71" s="11"/>
      <c r="E71" s="11"/>
      <c r="F71" s="11"/>
      <c r="G71" s="11"/>
    </row>
    <row r="72">
      <c r="B72" s="11"/>
      <c r="C72" s="11"/>
      <c r="D72" s="11"/>
      <c r="E72" s="11"/>
      <c r="F72" s="11"/>
      <c r="G72" s="11"/>
    </row>
    <row r="73">
      <c r="B73" s="11"/>
      <c r="C73" s="11"/>
      <c r="D73" s="11"/>
      <c r="E73" s="11"/>
      <c r="F73" s="11"/>
      <c r="G73" s="11"/>
    </row>
    <row r="74">
      <c r="B74" s="11"/>
      <c r="C74" s="11"/>
      <c r="D74" s="11"/>
      <c r="E74" s="11"/>
      <c r="F74" s="11"/>
      <c r="G74" s="11"/>
    </row>
    <row r="75">
      <c r="B75" s="11"/>
      <c r="C75" s="11"/>
      <c r="D75" s="11"/>
      <c r="E75" s="11"/>
      <c r="F75" s="11"/>
      <c r="G75" s="11"/>
    </row>
    <row r="76">
      <c r="B76" s="11"/>
      <c r="C76" s="11"/>
      <c r="D76" s="11"/>
      <c r="E76" s="11"/>
      <c r="F76" s="11"/>
      <c r="G76" s="11"/>
    </row>
    <row r="77">
      <c r="B77" s="11"/>
      <c r="C77" s="11"/>
      <c r="D77" s="11"/>
      <c r="E77" s="11"/>
      <c r="F77" s="11"/>
      <c r="G77" s="11"/>
    </row>
    <row r="78">
      <c r="B78" s="11"/>
      <c r="C78" s="11"/>
      <c r="D78" s="11"/>
      <c r="E78" s="11"/>
      <c r="F78" s="11"/>
      <c r="G78" s="11"/>
    </row>
    <row r="79">
      <c r="B79" s="11"/>
      <c r="C79" s="11"/>
      <c r="D79" s="11"/>
      <c r="E79" s="11"/>
      <c r="F79" s="11"/>
      <c r="G79" s="11"/>
    </row>
    <row r="80">
      <c r="B80" s="11"/>
      <c r="C80" s="11"/>
      <c r="D80" s="11"/>
      <c r="E80" s="11"/>
      <c r="F80" s="11"/>
      <c r="G80" s="11"/>
    </row>
    <row r="81">
      <c r="B81" s="11"/>
      <c r="C81" s="11"/>
      <c r="D81" s="11"/>
      <c r="E81" s="11"/>
      <c r="F81" s="11"/>
      <c r="G81" s="11"/>
    </row>
    <row r="82">
      <c r="B82" s="11"/>
      <c r="C82" s="11"/>
      <c r="D82" s="11"/>
      <c r="E82" s="11"/>
      <c r="F82" s="11"/>
      <c r="G82" s="11"/>
    </row>
    <row r="83">
      <c r="B83" s="11"/>
      <c r="C83" s="11"/>
      <c r="D83" s="11"/>
      <c r="E83" s="11"/>
      <c r="F83" s="11"/>
      <c r="G83" s="11"/>
    </row>
    <row r="84">
      <c r="B84" s="11"/>
      <c r="C84" s="11"/>
      <c r="D84" s="11"/>
      <c r="E84" s="11"/>
      <c r="F84" s="11"/>
      <c r="G84" s="11"/>
    </row>
    <row r="85">
      <c r="B85" s="11"/>
      <c r="C85" s="11"/>
      <c r="D85" s="11"/>
      <c r="E85" s="11"/>
      <c r="F85" s="11"/>
      <c r="G85" s="11"/>
    </row>
    <row r="86">
      <c r="B86" s="11"/>
      <c r="C86" s="11"/>
      <c r="D86" s="11"/>
      <c r="E86" s="11"/>
      <c r="F86" s="11"/>
      <c r="G86" s="11"/>
    </row>
    <row r="87">
      <c r="B87" s="11"/>
      <c r="C87" s="11"/>
      <c r="D87" s="11"/>
      <c r="E87" s="11"/>
      <c r="F87" s="11"/>
      <c r="G87" s="11"/>
    </row>
    <row r="88">
      <c r="B88" s="11"/>
      <c r="C88" s="11"/>
      <c r="D88" s="11"/>
      <c r="E88" s="11"/>
      <c r="F88" s="11"/>
      <c r="G88" s="11"/>
    </row>
    <row r="89">
      <c r="B89" s="11"/>
      <c r="C89" s="11"/>
      <c r="D89" s="11"/>
      <c r="E89" s="11"/>
      <c r="F89" s="11"/>
      <c r="G89" s="11"/>
    </row>
    <row r="90">
      <c r="B90" s="11"/>
      <c r="C90" s="11"/>
      <c r="D90" s="11"/>
      <c r="E90" s="11"/>
      <c r="F90" s="11"/>
      <c r="G90" s="11"/>
    </row>
    <row r="91">
      <c r="B91" s="11"/>
      <c r="C91" s="11"/>
      <c r="D91" s="11"/>
      <c r="E91" s="11"/>
      <c r="F91" s="11"/>
      <c r="G91" s="11"/>
    </row>
    <row r="92">
      <c r="B92" s="11"/>
      <c r="C92" s="11"/>
      <c r="D92" s="11"/>
      <c r="E92" s="11"/>
      <c r="F92" s="11"/>
      <c r="G92" s="11"/>
    </row>
    <row r="93">
      <c r="B93" s="11"/>
      <c r="C93" s="11"/>
      <c r="D93" s="11"/>
      <c r="E93" s="11"/>
      <c r="F93" s="11"/>
      <c r="G93" s="11"/>
    </row>
    <row r="94">
      <c r="B94" s="11"/>
      <c r="C94" s="11"/>
      <c r="D94" s="11"/>
      <c r="E94" s="11"/>
      <c r="F94" s="11"/>
      <c r="G94" s="11"/>
    </row>
    <row r="95">
      <c r="B95" s="11"/>
      <c r="C95" s="11"/>
      <c r="D95" s="11"/>
      <c r="E95" s="11"/>
      <c r="F95" s="11"/>
      <c r="G95" s="11"/>
    </row>
    <row r="96">
      <c r="B96" s="11"/>
      <c r="C96" s="11"/>
      <c r="D96" s="11"/>
      <c r="E96" s="11"/>
      <c r="F96" s="11"/>
      <c r="G96" s="11"/>
    </row>
    <row r="97">
      <c r="B97" s="11"/>
      <c r="C97" s="11"/>
      <c r="D97" s="11"/>
      <c r="E97" s="11"/>
      <c r="F97" s="11"/>
      <c r="G97" s="11"/>
    </row>
    <row r="98">
      <c r="B98" s="11"/>
      <c r="C98" s="11"/>
      <c r="D98" s="11"/>
      <c r="E98" s="11"/>
      <c r="F98" s="11"/>
      <c r="G98" s="11"/>
    </row>
    <row r="99">
      <c r="B99" s="11"/>
      <c r="C99" s="11"/>
      <c r="D99" s="11"/>
      <c r="E99" s="11"/>
      <c r="F99" s="11"/>
      <c r="G99" s="11"/>
    </row>
    <row r="100">
      <c r="B100" s="11"/>
      <c r="C100" s="11"/>
      <c r="D100" s="11"/>
      <c r="E100" s="11"/>
      <c r="F100" s="11"/>
      <c r="G100" s="11"/>
    </row>
    <row r="101">
      <c r="B101" s="11"/>
      <c r="C101" s="11"/>
      <c r="D101" s="11"/>
      <c r="E101" s="11"/>
      <c r="F101" s="11"/>
      <c r="G101" s="11"/>
    </row>
    <row r="102">
      <c r="B102" s="11"/>
      <c r="C102" s="11"/>
      <c r="D102" s="11"/>
      <c r="E102" s="11"/>
      <c r="F102" s="11"/>
      <c r="G102" s="11"/>
    </row>
    <row r="103">
      <c r="B103" s="11"/>
      <c r="C103" s="11"/>
      <c r="D103" s="11"/>
      <c r="E103" s="11"/>
      <c r="F103" s="11"/>
      <c r="G103" s="11"/>
    </row>
    <row r="104">
      <c r="B104" s="11"/>
      <c r="C104" s="11"/>
      <c r="D104" s="11"/>
      <c r="E104" s="11"/>
      <c r="F104" s="11"/>
      <c r="G104" s="11"/>
    </row>
    <row r="105">
      <c r="B105" s="11"/>
      <c r="C105" s="11"/>
      <c r="D105" s="11"/>
      <c r="E105" s="11"/>
      <c r="F105" s="11"/>
      <c r="G105" s="11"/>
    </row>
    <row r="106">
      <c r="B106" s="11"/>
      <c r="C106" s="11"/>
      <c r="D106" s="11"/>
      <c r="E106" s="11"/>
      <c r="F106" s="11"/>
      <c r="G106" s="11"/>
    </row>
    <row r="107">
      <c r="B107" s="11"/>
      <c r="C107" s="11"/>
      <c r="D107" s="11"/>
      <c r="E107" s="11"/>
      <c r="F107" s="11"/>
      <c r="G107" s="11"/>
    </row>
    <row r="108">
      <c r="B108" s="11"/>
      <c r="C108" s="11"/>
      <c r="D108" s="11"/>
      <c r="E108" s="11"/>
      <c r="F108" s="11"/>
      <c r="G108" s="11"/>
    </row>
    <row r="109">
      <c r="B109" s="11"/>
      <c r="C109" s="11"/>
      <c r="D109" s="11"/>
      <c r="E109" s="11"/>
      <c r="F109" s="11"/>
      <c r="G109" s="11"/>
    </row>
    <row r="110">
      <c r="B110" s="11"/>
      <c r="C110" s="11"/>
      <c r="D110" s="11"/>
      <c r="E110" s="11"/>
      <c r="F110" s="11"/>
      <c r="G110" s="11"/>
    </row>
    <row r="111">
      <c r="B111" s="11"/>
      <c r="C111" s="11"/>
      <c r="D111" s="11"/>
      <c r="E111" s="11"/>
      <c r="F111" s="11"/>
      <c r="G111" s="11"/>
    </row>
    <row r="112">
      <c r="B112" s="11"/>
      <c r="C112" s="11"/>
      <c r="D112" s="11"/>
      <c r="E112" s="11"/>
      <c r="F112" s="11"/>
      <c r="G112" s="11"/>
    </row>
    <row r="113">
      <c r="B113" s="11"/>
      <c r="C113" s="11"/>
      <c r="D113" s="11"/>
      <c r="E113" s="11"/>
      <c r="F113" s="11"/>
      <c r="G113" s="11"/>
    </row>
    <row r="114">
      <c r="B114" s="11"/>
      <c r="C114" s="11"/>
      <c r="D114" s="11"/>
      <c r="E114" s="11"/>
      <c r="F114" s="11"/>
      <c r="G114" s="11"/>
    </row>
    <row r="115">
      <c r="B115" s="11"/>
      <c r="C115" s="11"/>
      <c r="D115" s="11"/>
      <c r="E115" s="11"/>
      <c r="F115" s="11"/>
      <c r="G115" s="11"/>
    </row>
    <row r="116">
      <c r="B116" s="11"/>
      <c r="C116" s="11"/>
      <c r="D116" s="11"/>
      <c r="E116" s="11"/>
      <c r="F116" s="11"/>
      <c r="G116" s="11"/>
    </row>
    <row r="117">
      <c r="B117" s="11"/>
      <c r="C117" s="11"/>
      <c r="D117" s="11"/>
      <c r="E117" s="11"/>
      <c r="F117" s="11"/>
      <c r="G117" s="11"/>
    </row>
    <row r="118">
      <c r="B118" s="11"/>
      <c r="C118" s="11"/>
      <c r="D118" s="11"/>
      <c r="E118" s="11"/>
      <c r="F118" s="11"/>
      <c r="G118" s="11"/>
    </row>
    <row r="119">
      <c r="B119" s="11"/>
      <c r="C119" s="11"/>
      <c r="D119" s="11"/>
      <c r="E119" s="11"/>
      <c r="F119" s="11"/>
      <c r="G119" s="11"/>
    </row>
    <row r="120">
      <c r="B120" s="11"/>
      <c r="C120" s="11"/>
      <c r="D120" s="11"/>
      <c r="E120" s="11"/>
      <c r="F120" s="11"/>
      <c r="G120" s="11"/>
    </row>
    <row r="121">
      <c r="B121" s="11"/>
      <c r="C121" s="11"/>
      <c r="D121" s="11"/>
      <c r="E121" s="11"/>
      <c r="F121" s="11"/>
      <c r="G121" s="11"/>
    </row>
    <row r="122">
      <c r="B122" s="11"/>
      <c r="C122" s="11"/>
      <c r="D122" s="11"/>
      <c r="E122" s="11"/>
      <c r="F122" s="11"/>
      <c r="G122" s="11"/>
    </row>
    <row r="123">
      <c r="B123" s="11"/>
      <c r="C123" s="11"/>
      <c r="D123" s="11"/>
      <c r="E123" s="11"/>
      <c r="F123" s="11"/>
      <c r="G123" s="11"/>
    </row>
    <row r="124">
      <c r="B124" s="11"/>
      <c r="C124" s="11"/>
      <c r="D124" s="11"/>
      <c r="E124" s="11"/>
      <c r="F124" s="11"/>
      <c r="G124" s="11"/>
    </row>
    <row r="125">
      <c r="B125" s="11"/>
      <c r="C125" s="11"/>
      <c r="D125" s="11"/>
      <c r="E125" s="11"/>
      <c r="F125" s="11"/>
      <c r="G125" s="11"/>
    </row>
    <row r="126">
      <c r="B126" s="11"/>
      <c r="C126" s="11"/>
      <c r="D126" s="11"/>
      <c r="E126" s="11"/>
      <c r="F126" s="11"/>
      <c r="G126" s="11"/>
    </row>
    <row r="127">
      <c r="B127" s="11"/>
      <c r="C127" s="11"/>
      <c r="D127" s="11"/>
      <c r="E127" s="11"/>
      <c r="F127" s="11"/>
      <c r="G127" s="11"/>
    </row>
    <row r="128">
      <c r="B128" s="11"/>
      <c r="C128" s="11"/>
      <c r="D128" s="11"/>
      <c r="E128" s="11"/>
      <c r="F128" s="11"/>
      <c r="G128" s="11"/>
    </row>
    <row r="129">
      <c r="B129" s="11"/>
      <c r="C129" s="11"/>
      <c r="D129" s="11"/>
      <c r="E129" s="11"/>
      <c r="F129" s="11"/>
      <c r="G129" s="11"/>
    </row>
    <row r="130">
      <c r="B130" s="11"/>
      <c r="C130" s="11"/>
      <c r="D130" s="11"/>
      <c r="E130" s="11"/>
      <c r="F130" s="11"/>
      <c r="G130" s="11"/>
    </row>
    <row r="131">
      <c r="B131" s="11"/>
      <c r="C131" s="11"/>
      <c r="D131" s="11"/>
      <c r="E131" s="11"/>
      <c r="F131" s="11"/>
      <c r="G131" s="11"/>
    </row>
    <row r="132">
      <c r="B132" s="11"/>
      <c r="C132" s="11"/>
      <c r="D132" s="11"/>
      <c r="E132" s="11"/>
      <c r="F132" s="11"/>
      <c r="G132" s="11"/>
    </row>
    <row r="133">
      <c r="B133" s="11"/>
      <c r="C133" s="11"/>
      <c r="D133" s="11"/>
      <c r="E133" s="11"/>
      <c r="F133" s="11"/>
      <c r="G133" s="11"/>
    </row>
    <row r="134">
      <c r="B134" s="11"/>
      <c r="C134" s="11"/>
      <c r="D134" s="11"/>
      <c r="E134" s="11"/>
      <c r="F134" s="11"/>
      <c r="G134" s="11"/>
    </row>
    <row r="135">
      <c r="B135" s="11"/>
      <c r="C135" s="11"/>
      <c r="D135" s="11"/>
      <c r="E135" s="11"/>
      <c r="F135" s="11"/>
      <c r="G135" s="11"/>
    </row>
    <row r="136">
      <c r="B136" s="11"/>
      <c r="C136" s="11"/>
      <c r="D136" s="11"/>
      <c r="E136" s="11"/>
      <c r="F136" s="11"/>
      <c r="G136" s="11"/>
    </row>
    <row r="137">
      <c r="B137" s="11"/>
      <c r="C137" s="11"/>
      <c r="D137" s="11"/>
      <c r="E137" s="11"/>
      <c r="F137" s="11"/>
      <c r="G137" s="11"/>
    </row>
    <row r="138">
      <c r="B138" s="11"/>
      <c r="C138" s="11"/>
      <c r="D138" s="11"/>
      <c r="E138" s="11"/>
      <c r="F138" s="11"/>
      <c r="G138" s="11"/>
    </row>
    <row r="139">
      <c r="B139" s="11"/>
      <c r="C139" s="11"/>
      <c r="D139" s="11"/>
      <c r="E139" s="11"/>
      <c r="F139" s="11"/>
      <c r="G139" s="11"/>
    </row>
    <row r="140">
      <c r="B140" s="11"/>
      <c r="C140" s="11"/>
      <c r="D140" s="11"/>
      <c r="E140" s="11"/>
      <c r="F140" s="11"/>
      <c r="G140" s="11"/>
    </row>
    <row r="141">
      <c r="B141" s="11"/>
      <c r="C141" s="11"/>
      <c r="D141" s="11"/>
      <c r="E141" s="11"/>
      <c r="F141" s="11"/>
      <c r="G141" s="11"/>
    </row>
    <row r="142">
      <c r="B142" s="11"/>
      <c r="C142" s="11"/>
      <c r="D142" s="11"/>
      <c r="E142" s="11"/>
      <c r="F142" s="11"/>
      <c r="G142" s="11"/>
    </row>
    <row r="143">
      <c r="B143" s="11"/>
      <c r="C143" s="11"/>
      <c r="D143" s="11"/>
      <c r="E143" s="11"/>
      <c r="F143" s="11"/>
      <c r="G143" s="11"/>
    </row>
    <row r="144">
      <c r="B144" s="11"/>
      <c r="C144" s="11"/>
      <c r="D144" s="11"/>
      <c r="E144" s="11"/>
      <c r="F144" s="11"/>
      <c r="G144" s="11"/>
    </row>
    <row r="145">
      <c r="B145" s="11"/>
      <c r="C145" s="11"/>
      <c r="D145" s="11"/>
      <c r="E145" s="11"/>
      <c r="F145" s="11"/>
      <c r="G145" s="11"/>
    </row>
    <row r="146">
      <c r="B146" s="11"/>
      <c r="C146" s="11"/>
      <c r="D146" s="11"/>
      <c r="E146" s="11"/>
      <c r="F146" s="11"/>
      <c r="G146" s="11"/>
    </row>
    <row r="147">
      <c r="B147" s="11"/>
      <c r="C147" s="11"/>
      <c r="D147" s="11"/>
      <c r="E147" s="11"/>
      <c r="F147" s="11"/>
      <c r="G147" s="11"/>
    </row>
    <row r="148">
      <c r="B148" s="11"/>
      <c r="C148" s="11"/>
      <c r="D148" s="11"/>
      <c r="E148" s="11"/>
      <c r="F148" s="11"/>
      <c r="G148" s="11"/>
    </row>
    <row r="149">
      <c r="B149" s="11"/>
      <c r="C149" s="11"/>
      <c r="D149" s="11"/>
      <c r="E149" s="11"/>
      <c r="F149" s="11"/>
      <c r="G149" s="11"/>
    </row>
    <row r="150">
      <c r="B150" s="11"/>
      <c r="C150" s="11"/>
      <c r="D150" s="11"/>
      <c r="E150" s="11"/>
      <c r="F150" s="11"/>
      <c r="G150" s="11"/>
    </row>
    <row r="151">
      <c r="B151" s="11"/>
      <c r="C151" s="11"/>
      <c r="D151" s="11"/>
      <c r="E151" s="11"/>
      <c r="F151" s="11"/>
      <c r="G151" s="11"/>
    </row>
    <row r="152">
      <c r="B152" s="11"/>
      <c r="C152" s="11"/>
      <c r="D152" s="11"/>
      <c r="E152" s="11"/>
      <c r="F152" s="11"/>
      <c r="G152" s="11"/>
    </row>
    <row r="153">
      <c r="B153" s="11"/>
      <c r="C153" s="11"/>
      <c r="D153" s="11"/>
      <c r="E153" s="11"/>
      <c r="F153" s="11"/>
      <c r="G153" s="11"/>
    </row>
    <row r="154">
      <c r="B154" s="11"/>
      <c r="C154" s="11"/>
      <c r="D154" s="11"/>
      <c r="E154" s="11"/>
      <c r="F154" s="11"/>
      <c r="G154" s="11"/>
    </row>
    <row r="155">
      <c r="B155" s="11"/>
      <c r="C155" s="11"/>
      <c r="D155" s="11"/>
      <c r="E155" s="11"/>
      <c r="F155" s="11"/>
      <c r="G155" s="11"/>
    </row>
    <row r="156">
      <c r="B156" s="11"/>
      <c r="C156" s="11"/>
      <c r="D156" s="11"/>
      <c r="E156" s="11"/>
      <c r="F156" s="11"/>
      <c r="G156" s="11"/>
    </row>
    <row r="157">
      <c r="B157" s="11"/>
      <c r="C157" s="11"/>
      <c r="D157" s="11"/>
      <c r="E157" s="11"/>
      <c r="F157" s="11"/>
      <c r="G157" s="11"/>
    </row>
    <row r="158">
      <c r="B158" s="11"/>
      <c r="C158" s="11"/>
      <c r="D158" s="11"/>
      <c r="E158" s="11"/>
      <c r="F158" s="11"/>
      <c r="G158" s="11"/>
    </row>
    <row r="159">
      <c r="B159" s="11"/>
      <c r="C159" s="11"/>
      <c r="D159" s="11"/>
      <c r="E159" s="11"/>
      <c r="F159" s="11"/>
      <c r="G159" s="11"/>
    </row>
    <row r="160">
      <c r="B160" s="11"/>
      <c r="C160" s="11"/>
      <c r="D160" s="11"/>
      <c r="E160" s="11"/>
      <c r="F160" s="11"/>
      <c r="G160" s="11"/>
    </row>
    <row r="161">
      <c r="B161" s="11"/>
      <c r="C161" s="11"/>
      <c r="D161" s="11"/>
      <c r="E161" s="11"/>
      <c r="F161" s="11"/>
      <c r="G161" s="11"/>
    </row>
    <row r="162">
      <c r="B162" s="11"/>
      <c r="C162" s="11"/>
      <c r="D162" s="11"/>
      <c r="E162" s="11"/>
      <c r="F162" s="11"/>
      <c r="G162" s="11"/>
    </row>
    <row r="163">
      <c r="B163" s="11"/>
      <c r="C163" s="11"/>
      <c r="D163" s="11"/>
      <c r="E163" s="11"/>
      <c r="F163" s="11"/>
      <c r="G163" s="11"/>
    </row>
    <row r="164">
      <c r="B164" s="11"/>
      <c r="C164" s="11"/>
      <c r="D164" s="11"/>
      <c r="E164" s="11"/>
      <c r="F164" s="11"/>
      <c r="G164" s="11"/>
    </row>
    <row r="165">
      <c r="B165" s="11"/>
      <c r="C165" s="11"/>
      <c r="D165" s="11"/>
      <c r="E165" s="11"/>
      <c r="F165" s="11"/>
      <c r="G165" s="11"/>
    </row>
    <row r="166">
      <c r="B166" s="11"/>
      <c r="C166" s="11"/>
      <c r="D166" s="11"/>
      <c r="E166" s="11"/>
      <c r="F166" s="11"/>
      <c r="G166" s="11"/>
    </row>
    <row r="167">
      <c r="B167" s="11"/>
      <c r="C167" s="11"/>
      <c r="D167" s="11"/>
      <c r="E167" s="11"/>
      <c r="F167" s="11"/>
      <c r="G167" s="11"/>
    </row>
    <row r="168">
      <c r="B168" s="11"/>
      <c r="C168" s="11"/>
      <c r="D168" s="11"/>
      <c r="E168" s="11"/>
      <c r="F168" s="11"/>
      <c r="G168" s="11"/>
    </row>
    <row r="169">
      <c r="B169" s="11"/>
      <c r="C169" s="11"/>
      <c r="D169" s="11"/>
      <c r="E169" s="11"/>
      <c r="F169" s="11"/>
      <c r="G169" s="11"/>
    </row>
    <row r="170">
      <c r="B170" s="11"/>
      <c r="C170" s="11"/>
      <c r="D170" s="11"/>
      <c r="E170" s="11"/>
      <c r="F170" s="11"/>
      <c r="G170" s="11"/>
    </row>
    <row r="171">
      <c r="B171" s="11"/>
      <c r="C171" s="11"/>
      <c r="D171" s="11"/>
      <c r="E171" s="11"/>
      <c r="F171" s="11"/>
      <c r="G171" s="11"/>
    </row>
    <row r="172">
      <c r="B172" s="11"/>
      <c r="C172" s="11"/>
      <c r="D172" s="11"/>
      <c r="E172" s="11"/>
      <c r="F172" s="11"/>
      <c r="G172" s="11"/>
    </row>
    <row r="173">
      <c r="B173" s="11"/>
      <c r="C173" s="11"/>
      <c r="D173" s="11"/>
      <c r="E173" s="11"/>
      <c r="F173" s="11"/>
      <c r="G173" s="11"/>
    </row>
    <row r="174">
      <c r="B174" s="11"/>
      <c r="C174" s="11"/>
      <c r="D174" s="11"/>
      <c r="E174" s="11"/>
      <c r="F174" s="11"/>
      <c r="G174" s="11"/>
    </row>
    <row r="175">
      <c r="B175" s="11"/>
      <c r="C175" s="11"/>
      <c r="D175" s="11"/>
      <c r="E175" s="11"/>
      <c r="F175" s="11"/>
      <c r="G175" s="11"/>
    </row>
    <row r="176">
      <c r="B176" s="11"/>
      <c r="C176" s="11"/>
      <c r="D176" s="11"/>
      <c r="E176" s="11"/>
      <c r="F176" s="11"/>
      <c r="G176" s="11"/>
    </row>
    <row r="177">
      <c r="B177" s="11"/>
      <c r="C177" s="11"/>
      <c r="D177" s="11"/>
      <c r="E177" s="11"/>
      <c r="F177" s="11"/>
      <c r="G177" s="11"/>
    </row>
    <row r="178">
      <c r="B178" s="11"/>
      <c r="C178" s="11"/>
      <c r="D178" s="11"/>
      <c r="E178" s="11"/>
      <c r="F178" s="11"/>
      <c r="G178" s="11"/>
    </row>
    <row r="179">
      <c r="B179" s="11"/>
      <c r="C179" s="11"/>
      <c r="D179" s="11"/>
      <c r="E179" s="11"/>
      <c r="F179" s="11"/>
      <c r="G179" s="11"/>
    </row>
    <row r="180">
      <c r="B180" s="11"/>
      <c r="C180" s="11"/>
      <c r="D180" s="11"/>
      <c r="E180" s="11"/>
      <c r="F180" s="11"/>
      <c r="G180" s="11"/>
    </row>
    <row r="181">
      <c r="B181" s="11"/>
      <c r="C181" s="11"/>
      <c r="D181" s="11"/>
      <c r="E181" s="11"/>
      <c r="F181" s="11"/>
      <c r="G181" s="11"/>
    </row>
    <row r="182">
      <c r="B182" s="11"/>
      <c r="C182" s="11"/>
      <c r="D182" s="11"/>
      <c r="E182" s="11"/>
      <c r="F182" s="11"/>
      <c r="G182" s="11"/>
    </row>
    <row r="183">
      <c r="B183" s="11"/>
      <c r="C183" s="11"/>
      <c r="D183" s="11"/>
      <c r="E183" s="11"/>
      <c r="F183" s="11"/>
      <c r="G183" s="11"/>
    </row>
    <row r="184">
      <c r="B184" s="11"/>
      <c r="C184" s="11"/>
      <c r="D184" s="11"/>
      <c r="E184" s="11"/>
      <c r="F184" s="11"/>
      <c r="G184" s="11"/>
    </row>
    <row r="185">
      <c r="B185" s="11"/>
      <c r="C185" s="11"/>
      <c r="D185" s="11"/>
      <c r="E185" s="11"/>
      <c r="F185" s="11"/>
      <c r="G185" s="11"/>
    </row>
    <row r="186">
      <c r="B186" s="11"/>
      <c r="C186" s="11"/>
      <c r="D186" s="11"/>
      <c r="E186" s="11"/>
      <c r="F186" s="11"/>
      <c r="G186" s="11"/>
    </row>
    <row r="187">
      <c r="B187" s="11"/>
      <c r="C187" s="11"/>
      <c r="D187" s="11"/>
      <c r="E187" s="11"/>
      <c r="F187" s="11"/>
      <c r="G187" s="11"/>
    </row>
    <row r="188">
      <c r="B188" s="11"/>
      <c r="C188" s="11"/>
      <c r="D188" s="11"/>
      <c r="E188" s="11"/>
      <c r="F188" s="11"/>
      <c r="G188" s="11"/>
    </row>
    <row r="189">
      <c r="B189" s="11"/>
      <c r="C189" s="11"/>
      <c r="D189" s="11"/>
      <c r="E189" s="11"/>
      <c r="F189" s="11"/>
      <c r="G189" s="11"/>
    </row>
    <row r="190">
      <c r="B190" s="11"/>
      <c r="C190" s="11"/>
      <c r="D190" s="11"/>
      <c r="E190" s="11"/>
      <c r="F190" s="11"/>
      <c r="G190" s="11"/>
    </row>
    <row r="191">
      <c r="B191" s="11"/>
      <c r="C191" s="11"/>
      <c r="D191" s="11"/>
      <c r="E191" s="11"/>
      <c r="F191" s="11"/>
      <c r="G191" s="11"/>
    </row>
    <row r="192">
      <c r="B192" s="11"/>
      <c r="C192" s="11"/>
      <c r="D192" s="11"/>
      <c r="E192" s="11"/>
      <c r="F192" s="11"/>
      <c r="G192" s="11"/>
    </row>
    <row r="193">
      <c r="B193" s="11"/>
      <c r="C193" s="11"/>
      <c r="D193" s="11"/>
      <c r="E193" s="11"/>
      <c r="F193" s="11"/>
      <c r="G193" s="11"/>
    </row>
    <row r="194">
      <c r="B194" s="11"/>
      <c r="C194" s="11"/>
      <c r="D194" s="11"/>
      <c r="E194" s="11"/>
      <c r="F194" s="11"/>
      <c r="G194" s="11"/>
    </row>
    <row r="195">
      <c r="B195" s="11"/>
      <c r="C195" s="11"/>
      <c r="D195" s="11"/>
      <c r="E195" s="11"/>
      <c r="F195" s="11"/>
      <c r="G195" s="11"/>
    </row>
    <row r="196">
      <c r="B196" s="11"/>
      <c r="C196" s="11"/>
      <c r="D196" s="11"/>
      <c r="E196" s="11"/>
      <c r="F196" s="11"/>
      <c r="G196" s="11"/>
    </row>
    <row r="197">
      <c r="B197" s="11"/>
      <c r="C197" s="11"/>
      <c r="D197" s="11"/>
      <c r="E197" s="11"/>
      <c r="F197" s="11"/>
      <c r="G197" s="11"/>
    </row>
    <row r="198">
      <c r="B198" s="11"/>
      <c r="C198" s="11"/>
      <c r="D198" s="11"/>
      <c r="E198" s="11"/>
      <c r="F198" s="11"/>
      <c r="G198" s="11"/>
    </row>
    <row r="199">
      <c r="B199" s="11"/>
      <c r="C199" s="11"/>
      <c r="D199" s="11"/>
      <c r="E199" s="11"/>
      <c r="F199" s="11"/>
      <c r="G199" s="11"/>
    </row>
    <row r="200">
      <c r="B200" s="11"/>
      <c r="C200" s="11"/>
      <c r="D200" s="11"/>
      <c r="E200" s="11"/>
      <c r="F200" s="11"/>
      <c r="G200" s="11"/>
    </row>
    <row r="201">
      <c r="B201" s="11"/>
      <c r="C201" s="11"/>
      <c r="D201" s="11"/>
      <c r="E201" s="11"/>
      <c r="F201" s="11"/>
      <c r="G201" s="11"/>
    </row>
    <row r="202">
      <c r="B202" s="11"/>
      <c r="C202" s="11"/>
      <c r="D202" s="11"/>
      <c r="E202" s="11"/>
      <c r="F202" s="11"/>
      <c r="G202" s="11"/>
    </row>
    <row r="203">
      <c r="B203" s="11"/>
      <c r="C203" s="11"/>
      <c r="D203" s="11"/>
      <c r="E203" s="11"/>
      <c r="F203" s="11"/>
      <c r="G203" s="11"/>
    </row>
    <row r="204">
      <c r="B204" s="11"/>
      <c r="C204" s="11"/>
      <c r="D204" s="11"/>
      <c r="E204" s="11"/>
      <c r="F204" s="11"/>
      <c r="G204" s="11"/>
    </row>
    <row r="205">
      <c r="B205" s="11"/>
      <c r="C205" s="11"/>
      <c r="D205" s="11"/>
      <c r="E205" s="11"/>
      <c r="F205" s="11"/>
      <c r="G205" s="11"/>
    </row>
    <row r="206">
      <c r="B206" s="11"/>
      <c r="C206" s="11"/>
      <c r="D206" s="11"/>
      <c r="E206" s="11"/>
      <c r="F206" s="11"/>
      <c r="G206" s="11"/>
    </row>
    <row r="207">
      <c r="B207" s="11"/>
      <c r="C207" s="11"/>
      <c r="D207" s="11"/>
      <c r="E207" s="11"/>
      <c r="F207" s="11"/>
      <c r="G207" s="11"/>
    </row>
    <row r="208">
      <c r="B208" s="11"/>
      <c r="C208" s="11"/>
      <c r="D208" s="11"/>
      <c r="E208" s="11"/>
      <c r="F208" s="11"/>
      <c r="G208" s="11"/>
    </row>
    <row r="209">
      <c r="B209" s="11"/>
      <c r="C209" s="11"/>
      <c r="D209" s="11"/>
      <c r="E209" s="11"/>
      <c r="F209" s="11"/>
      <c r="G209" s="11"/>
    </row>
    <row r="210">
      <c r="B210" s="11"/>
      <c r="C210" s="11"/>
      <c r="D210" s="11"/>
      <c r="E210" s="11"/>
      <c r="F210" s="11"/>
      <c r="G210" s="11"/>
    </row>
    <row r="211">
      <c r="B211" s="11"/>
      <c r="C211" s="11"/>
      <c r="D211" s="11"/>
      <c r="E211" s="11"/>
      <c r="F211" s="11"/>
      <c r="G211" s="11"/>
    </row>
    <row r="212">
      <c r="B212" s="11"/>
      <c r="C212" s="11"/>
      <c r="D212" s="11"/>
      <c r="E212" s="11"/>
      <c r="F212" s="11"/>
      <c r="G212" s="11"/>
    </row>
    <row r="213">
      <c r="B213" s="11"/>
      <c r="C213" s="11"/>
      <c r="D213" s="11"/>
      <c r="E213" s="11"/>
      <c r="F213" s="11"/>
      <c r="G213" s="11"/>
    </row>
    <row r="214">
      <c r="B214" s="11"/>
      <c r="C214" s="11"/>
      <c r="D214" s="11"/>
      <c r="E214" s="11"/>
      <c r="F214" s="11"/>
      <c r="G214" s="11"/>
    </row>
    <row r="215">
      <c r="B215" s="11"/>
      <c r="C215" s="11"/>
      <c r="D215" s="11"/>
      <c r="E215" s="11"/>
      <c r="F215" s="11"/>
      <c r="G215" s="11"/>
    </row>
    <row r="216">
      <c r="B216" s="11"/>
      <c r="C216" s="11"/>
      <c r="D216" s="11"/>
      <c r="E216" s="11"/>
      <c r="F216" s="11"/>
      <c r="G216" s="11"/>
    </row>
    <row r="217">
      <c r="B217" s="11"/>
      <c r="C217" s="11"/>
      <c r="D217" s="11"/>
      <c r="E217" s="11"/>
      <c r="F217" s="11"/>
      <c r="G217" s="11"/>
    </row>
    <row r="218">
      <c r="B218" s="11"/>
      <c r="C218" s="11"/>
      <c r="D218" s="11"/>
      <c r="E218" s="11"/>
      <c r="F218" s="11"/>
      <c r="G218" s="11"/>
    </row>
    <row r="219">
      <c r="B219" s="11"/>
      <c r="C219" s="11"/>
      <c r="D219" s="11"/>
      <c r="E219" s="11"/>
      <c r="F219" s="11"/>
      <c r="G219" s="11"/>
    </row>
    <row r="220">
      <c r="B220" s="11"/>
      <c r="C220" s="11"/>
      <c r="D220" s="11"/>
      <c r="E220" s="11"/>
      <c r="F220" s="11"/>
      <c r="G220" s="11"/>
    </row>
    <row r="221">
      <c r="B221" s="11"/>
      <c r="C221" s="11"/>
      <c r="D221" s="11"/>
      <c r="E221" s="11"/>
      <c r="F221" s="11"/>
      <c r="G221" s="11"/>
    </row>
    <row r="222">
      <c r="B222" s="11"/>
      <c r="C222" s="11"/>
      <c r="D222" s="11"/>
      <c r="E222" s="11"/>
      <c r="F222" s="11"/>
      <c r="G222" s="11"/>
    </row>
    <row r="223">
      <c r="B223" s="11"/>
      <c r="C223" s="11"/>
      <c r="D223" s="11"/>
      <c r="E223" s="11"/>
      <c r="F223" s="11"/>
      <c r="G223" s="11"/>
    </row>
    <row r="224">
      <c r="B224" s="11"/>
      <c r="C224" s="11"/>
      <c r="D224" s="11"/>
      <c r="E224" s="11"/>
      <c r="F224" s="11"/>
      <c r="G224" s="11"/>
    </row>
    <row r="225">
      <c r="B225" s="11"/>
      <c r="C225" s="11"/>
      <c r="D225" s="11"/>
      <c r="E225" s="11"/>
      <c r="F225" s="11"/>
      <c r="G225" s="11"/>
    </row>
    <row r="226">
      <c r="B226" s="11"/>
      <c r="C226" s="11"/>
      <c r="D226" s="11"/>
      <c r="E226" s="11"/>
      <c r="F226" s="11"/>
      <c r="G226" s="11"/>
    </row>
    <row r="227">
      <c r="B227" s="11"/>
      <c r="C227" s="11"/>
      <c r="D227" s="11"/>
      <c r="E227" s="11"/>
      <c r="F227" s="11"/>
      <c r="G227" s="11"/>
    </row>
    <row r="228">
      <c r="B228" s="11"/>
      <c r="C228" s="11"/>
      <c r="D228" s="11"/>
      <c r="E228" s="11"/>
      <c r="F228" s="11"/>
      <c r="G228" s="11"/>
    </row>
    <row r="229">
      <c r="B229" s="11"/>
      <c r="C229" s="11"/>
      <c r="D229" s="11"/>
      <c r="E229" s="11"/>
      <c r="F229" s="11"/>
      <c r="G229" s="11"/>
    </row>
    <row r="230">
      <c r="B230" s="11"/>
      <c r="C230" s="11"/>
      <c r="D230" s="11"/>
      <c r="E230" s="11"/>
      <c r="F230" s="11"/>
      <c r="G230" s="11"/>
    </row>
    <row r="231">
      <c r="B231" s="11"/>
      <c r="C231" s="11"/>
      <c r="D231" s="11"/>
      <c r="E231" s="11"/>
      <c r="F231" s="11"/>
      <c r="G231" s="11"/>
    </row>
    <row r="232">
      <c r="B232" s="11"/>
      <c r="C232" s="11"/>
      <c r="D232" s="11"/>
      <c r="E232" s="11"/>
      <c r="F232" s="11"/>
      <c r="G232" s="11"/>
    </row>
    <row r="233">
      <c r="B233" s="11"/>
      <c r="C233" s="11"/>
      <c r="D233" s="11"/>
      <c r="E233" s="11"/>
      <c r="F233" s="11"/>
      <c r="G233" s="11"/>
    </row>
    <row r="234">
      <c r="B234" s="11"/>
      <c r="C234" s="11"/>
      <c r="D234" s="11"/>
      <c r="E234" s="11"/>
      <c r="F234" s="11"/>
      <c r="G234" s="11"/>
    </row>
    <row r="235">
      <c r="B235" s="11"/>
      <c r="C235" s="11"/>
      <c r="D235" s="11"/>
      <c r="E235" s="11"/>
      <c r="F235" s="11"/>
      <c r="G235" s="11"/>
    </row>
    <row r="236">
      <c r="B236" s="11"/>
      <c r="C236" s="11"/>
      <c r="D236" s="11"/>
      <c r="E236" s="11"/>
      <c r="F236" s="11"/>
      <c r="G236" s="11"/>
    </row>
    <row r="237">
      <c r="B237" s="11"/>
      <c r="C237" s="11"/>
      <c r="D237" s="11"/>
      <c r="E237" s="11"/>
      <c r="F237" s="11"/>
      <c r="G237" s="11"/>
    </row>
    <row r="238">
      <c r="B238" s="11"/>
      <c r="C238" s="11"/>
      <c r="D238" s="11"/>
      <c r="E238" s="11"/>
      <c r="F238" s="11"/>
      <c r="G238" s="11"/>
    </row>
    <row r="239">
      <c r="B239" s="11"/>
      <c r="C239" s="11"/>
      <c r="D239" s="11"/>
      <c r="E239" s="11"/>
      <c r="F239" s="11"/>
      <c r="G239" s="11"/>
    </row>
    <row r="240">
      <c r="B240" s="11"/>
      <c r="C240" s="11"/>
      <c r="D240" s="11"/>
      <c r="E240" s="11"/>
      <c r="F240" s="11"/>
      <c r="G240" s="11"/>
    </row>
    <row r="241">
      <c r="B241" s="11"/>
      <c r="C241" s="11"/>
      <c r="D241" s="11"/>
      <c r="E241" s="11"/>
      <c r="F241" s="11"/>
      <c r="G241" s="11"/>
    </row>
    <row r="242">
      <c r="B242" s="11"/>
      <c r="C242" s="11"/>
      <c r="D242" s="11"/>
      <c r="E242" s="11"/>
      <c r="F242" s="11"/>
      <c r="G242" s="11"/>
    </row>
    <row r="243">
      <c r="B243" s="11"/>
      <c r="C243" s="11"/>
      <c r="D243" s="11"/>
      <c r="E243" s="11"/>
      <c r="F243" s="11"/>
      <c r="G243" s="11"/>
    </row>
    <row r="244">
      <c r="B244" s="11"/>
      <c r="C244" s="11"/>
      <c r="D244" s="11"/>
      <c r="E244" s="11"/>
      <c r="F244" s="11"/>
      <c r="G244" s="11"/>
    </row>
    <row r="245">
      <c r="B245" s="11"/>
      <c r="C245" s="11"/>
      <c r="D245" s="11"/>
      <c r="E245" s="11"/>
      <c r="F245" s="11"/>
      <c r="G245" s="11"/>
    </row>
    <row r="246">
      <c r="B246" s="11"/>
      <c r="C246" s="11"/>
      <c r="D246" s="11"/>
      <c r="E246" s="11"/>
      <c r="F246" s="11"/>
      <c r="G246" s="11"/>
    </row>
    <row r="247">
      <c r="B247" s="11"/>
      <c r="C247" s="11"/>
      <c r="D247" s="11"/>
      <c r="E247" s="11"/>
      <c r="F247" s="11"/>
      <c r="G247" s="11"/>
    </row>
    <row r="248">
      <c r="B248" s="11"/>
      <c r="C248" s="11"/>
      <c r="D248" s="11"/>
      <c r="E248" s="11"/>
      <c r="F248" s="11"/>
      <c r="G248" s="11"/>
    </row>
    <row r="249">
      <c r="B249" s="11"/>
      <c r="C249" s="11"/>
      <c r="D249" s="11"/>
      <c r="E249" s="11"/>
      <c r="F249" s="11"/>
      <c r="G249" s="11"/>
    </row>
    <row r="250">
      <c r="B250" s="11"/>
      <c r="C250" s="11"/>
      <c r="D250" s="11"/>
      <c r="E250" s="11"/>
      <c r="F250" s="11"/>
      <c r="G250" s="11"/>
    </row>
    <row r="251">
      <c r="B251" s="11"/>
      <c r="C251" s="11"/>
      <c r="D251" s="11"/>
      <c r="E251" s="11"/>
      <c r="F251" s="11"/>
      <c r="G251" s="11"/>
    </row>
    <row r="252">
      <c r="B252" s="11"/>
      <c r="C252" s="11"/>
      <c r="D252" s="11"/>
      <c r="E252" s="11"/>
      <c r="F252" s="11"/>
      <c r="G252" s="11"/>
    </row>
    <row r="253">
      <c r="B253" s="11"/>
      <c r="C253" s="11"/>
      <c r="D253" s="11"/>
      <c r="E253" s="11"/>
      <c r="F253" s="11"/>
      <c r="G253" s="11"/>
    </row>
    <row r="254">
      <c r="B254" s="11"/>
      <c r="C254" s="11"/>
      <c r="D254" s="11"/>
      <c r="E254" s="11"/>
      <c r="F254" s="11"/>
      <c r="G254" s="11"/>
    </row>
    <row r="255">
      <c r="B255" s="11"/>
      <c r="C255" s="11"/>
      <c r="D255" s="11"/>
      <c r="E255" s="11"/>
      <c r="F255" s="11"/>
      <c r="G255" s="11"/>
    </row>
    <row r="256">
      <c r="B256" s="11"/>
      <c r="C256" s="11"/>
      <c r="D256" s="11"/>
      <c r="E256" s="11"/>
      <c r="F256" s="11"/>
      <c r="G256" s="11"/>
    </row>
    <row r="257">
      <c r="B257" s="11"/>
      <c r="C257" s="11"/>
      <c r="D257" s="11"/>
      <c r="E257" s="11"/>
      <c r="F257" s="11"/>
      <c r="G257" s="11"/>
    </row>
    <row r="258">
      <c r="B258" s="11"/>
      <c r="C258" s="11"/>
      <c r="D258" s="11"/>
      <c r="E258" s="11"/>
      <c r="F258" s="11"/>
      <c r="G258" s="11"/>
    </row>
    <row r="259">
      <c r="B259" s="11"/>
      <c r="C259" s="11"/>
      <c r="D259" s="11"/>
      <c r="E259" s="11"/>
      <c r="F259" s="11"/>
      <c r="G259" s="11"/>
    </row>
    <row r="260">
      <c r="B260" s="11"/>
      <c r="C260" s="11"/>
      <c r="D260" s="11"/>
      <c r="E260" s="11"/>
      <c r="F260" s="11"/>
      <c r="G260" s="11"/>
    </row>
    <row r="261">
      <c r="B261" s="11"/>
      <c r="C261" s="11"/>
      <c r="D261" s="11"/>
      <c r="E261" s="11"/>
      <c r="F261" s="11"/>
      <c r="G261" s="11"/>
    </row>
    <row r="262">
      <c r="B262" s="11"/>
      <c r="C262" s="11"/>
      <c r="D262" s="11"/>
      <c r="E262" s="11"/>
      <c r="F262" s="11"/>
      <c r="G262" s="11"/>
    </row>
    <row r="263">
      <c r="B263" s="11"/>
      <c r="C263" s="11"/>
      <c r="D263" s="11"/>
      <c r="E263" s="11"/>
      <c r="F263" s="11"/>
      <c r="G263" s="11"/>
    </row>
    <row r="264">
      <c r="B264" s="11"/>
      <c r="C264" s="11"/>
      <c r="D264" s="11"/>
      <c r="E264" s="11"/>
      <c r="F264" s="11"/>
      <c r="G264" s="11"/>
    </row>
    <row r="265">
      <c r="B265" s="11"/>
      <c r="C265" s="11"/>
      <c r="D265" s="11"/>
      <c r="E265" s="11"/>
      <c r="F265" s="11"/>
      <c r="G265" s="11"/>
    </row>
    <row r="266">
      <c r="B266" s="11"/>
      <c r="C266" s="11"/>
      <c r="D266" s="11"/>
      <c r="E266" s="11"/>
      <c r="F266" s="11"/>
      <c r="G266" s="11"/>
    </row>
    <row r="267">
      <c r="B267" s="11"/>
      <c r="C267" s="11"/>
      <c r="D267" s="11"/>
      <c r="E267" s="11"/>
      <c r="F267" s="11"/>
      <c r="G267" s="11"/>
    </row>
    <row r="268">
      <c r="B268" s="11"/>
      <c r="C268" s="11"/>
      <c r="D268" s="11"/>
      <c r="E268" s="11"/>
      <c r="F268" s="11"/>
      <c r="G268" s="11"/>
    </row>
    <row r="269">
      <c r="B269" s="11"/>
      <c r="C269" s="11"/>
      <c r="D269" s="11"/>
      <c r="E269" s="11"/>
      <c r="F269" s="11"/>
      <c r="G269" s="11"/>
    </row>
    <row r="270">
      <c r="B270" s="11"/>
      <c r="C270" s="11"/>
      <c r="D270" s="11"/>
      <c r="E270" s="11"/>
      <c r="F270" s="11"/>
      <c r="G270" s="11"/>
    </row>
    <row r="271">
      <c r="B271" s="11"/>
      <c r="C271" s="11"/>
      <c r="D271" s="11"/>
      <c r="E271" s="11"/>
      <c r="F271" s="11"/>
      <c r="G271" s="11"/>
    </row>
    <row r="272">
      <c r="B272" s="11"/>
      <c r="C272" s="11"/>
      <c r="D272" s="11"/>
      <c r="E272" s="11"/>
      <c r="F272" s="11"/>
      <c r="G272" s="11"/>
    </row>
    <row r="273">
      <c r="B273" s="11"/>
      <c r="C273" s="11"/>
      <c r="D273" s="11"/>
      <c r="E273" s="11"/>
      <c r="F273" s="11"/>
      <c r="G273" s="11"/>
    </row>
    <row r="274">
      <c r="B274" s="11"/>
      <c r="C274" s="11"/>
      <c r="D274" s="11"/>
      <c r="E274" s="11"/>
      <c r="F274" s="11"/>
      <c r="G274" s="11"/>
    </row>
    <row r="275">
      <c r="B275" s="11"/>
      <c r="C275" s="11"/>
      <c r="D275" s="11"/>
      <c r="E275" s="11"/>
      <c r="F275" s="11"/>
      <c r="G275" s="11"/>
    </row>
    <row r="276">
      <c r="B276" s="11"/>
      <c r="C276" s="11"/>
      <c r="D276" s="11"/>
      <c r="E276" s="11"/>
      <c r="F276" s="11"/>
      <c r="G276" s="11"/>
    </row>
    <row r="277">
      <c r="B277" s="11"/>
      <c r="C277" s="11"/>
      <c r="D277" s="11"/>
      <c r="E277" s="11"/>
      <c r="F277" s="11"/>
      <c r="G277" s="11"/>
    </row>
    <row r="278">
      <c r="B278" s="11"/>
      <c r="C278" s="11"/>
      <c r="D278" s="11"/>
      <c r="E278" s="11"/>
      <c r="F278" s="11"/>
      <c r="G278" s="11"/>
    </row>
    <row r="279">
      <c r="B279" s="11"/>
      <c r="C279" s="11"/>
      <c r="D279" s="11"/>
      <c r="E279" s="11"/>
      <c r="F279" s="11"/>
      <c r="G279" s="11"/>
    </row>
    <row r="280">
      <c r="B280" s="11"/>
      <c r="C280" s="11"/>
      <c r="D280" s="11"/>
      <c r="E280" s="11"/>
      <c r="F280" s="11"/>
      <c r="G280" s="11"/>
    </row>
    <row r="281">
      <c r="B281" s="11"/>
      <c r="C281" s="11"/>
      <c r="D281" s="11"/>
      <c r="E281" s="11"/>
      <c r="F281" s="11"/>
      <c r="G281" s="11"/>
    </row>
    <row r="282">
      <c r="B282" s="11"/>
      <c r="C282" s="11"/>
      <c r="D282" s="11"/>
      <c r="E282" s="11"/>
      <c r="F282" s="11"/>
      <c r="G282" s="11"/>
    </row>
    <row r="283">
      <c r="B283" s="11"/>
      <c r="C283" s="11"/>
      <c r="D283" s="11"/>
      <c r="E283" s="11"/>
      <c r="F283" s="11"/>
      <c r="G283" s="11"/>
    </row>
    <row r="284">
      <c r="B284" s="11"/>
      <c r="C284" s="11"/>
      <c r="D284" s="11"/>
      <c r="E284" s="11"/>
      <c r="F284" s="11"/>
      <c r="G284" s="11"/>
    </row>
    <row r="285">
      <c r="B285" s="11"/>
      <c r="C285" s="11"/>
      <c r="D285" s="11"/>
      <c r="E285" s="11"/>
      <c r="F285" s="11"/>
      <c r="G285" s="11"/>
    </row>
    <row r="286">
      <c r="B286" s="11"/>
      <c r="C286" s="11"/>
      <c r="D286" s="11"/>
      <c r="E286" s="11"/>
      <c r="F286" s="11"/>
      <c r="G286" s="11"/>
    </row>
    <row r="287">
      <c r="B287" s="11"/>
      <c r="C287" s="11"/>
      <c r="D287" s="11"/>
      <c r="E287" s="11"/>
      <c r="F287" s="11"/>
      <c r="G287" s="11"/>
    </row>
    <row r="288">
      <c r="B288" s="11"/>
      <c r="C288" s="11"/>
      <c r="D288" s="11"/>
      <c r="E288" s="11"/>
      <c r="F288" s="11"/>
      <c r="G288" s="11"/>
    </row>
    <row r="289">
      <c r="B289" s="11"/>
      <c r="C289" s="11"/>
      <c r="D289" s="11"/>
      <c r="E289" s="11"/>
      <c r="F289" s="11"/>
      <c r="G289" s="11"/>
    </row>
    <row r="290">
      <c r="B290" s="11"/>
      <c r="C290" s="11"/>
      <c r="D290" s="11"/>
      <c r="E290" s="11"/>
      <c r="F290" s="11"/>
      <c r="G290" s="11"/>
    </row>
    <row r="291">
      <c r="B291" s="11"/>
      <c r="C291" s="11"/>
      <c r="D291" s="11"/>
      <c r="E291" s="11"/>
      <c r="F291" s="11"/>
      <c r="G291" s="11"/>
    </row>
    <row r="292">
      <c r="B292" s="11"/>
      <c r="C292" s="11"/>
      <c r="D292" s="11"/>
      <c r="E292" s="11"/>
      <c r="F292" s="11"/>
      <c r="G292" s="11"/>
    </row>
    <row r="293">
      <c r="B293" s="11"/>
      <c r="C293" s="11"/>
      <c r="D293" s="11"/>
      <c r="E293" s="11"/>
      <c r="F293" s="11"/>
      <c r="G293" s="11"/>
    </row>
    <row r="294">
      <c r="B294" s="11"/>
      <c r="C294" s="11"/>
      <c r="D294" s="11"/>
      <c r="E294" s="11"/>
      <c r="F294" s="11"/>
      <c r="G294" s="11"/>
    </row>
    <row r="295">
      <c r="B295" s="11"/>
      <c r="C295" s="11"/>
      <c r="D295" s="11"/>
      <c r="E295" s="11"/>
      <c r="F295" s="11"/>
      <c r="G295" s="11"/>
    </row>
    <row r="296">
      <c r="B296" s="11"/>
      <c r="C296" s="11"/>
      <c r="D296" s="11"/>
      <c r="E296" s="11"/>
      <c r="F296" s="11"/>
      <c r="G296" s="11"/>
    </row>
    <row r="297">
      <c r="B297" s="11"/>
      <c r="C297" s="11"/>
      <c r="D297" s="11"/>
      <c r="E297" s="11"/>
      <c r="F297" s="11"/>
      <c r="G297" s="11"/>
    </row>
    <row r="298">
      <c r="B298" s="11"/>
      <c r="C298" s="11"/>
      <c r="D298" s="11"/>
      <c r="E298" s="11"/>
      <c r="F298" s="11"/>
      <c r="G298" s="11"/>
    </row>
    <row r="299">
      <c r="B299" s="11"/>
      <c r="C299" s="11"/>
      <c r="D299" s="11"/>
      <c r="E299" s="11"/>
      <c r="F299" s="11"/>
      <c r="G299" s="11"/>
    </row>
    <row r="300">
      <c r="B300" s="11"/>
      <c r="C300" s="11"/>
      <c r="D300" s="11"/>
      <c r="E300" s="11"/>
      <c r="F300" s="11"/>
      <c r="G300" s="11"/>
    </row>
    <row r="301">
      <c r="B301" s="11"/>
      <c r="C301" s="11"/>
      <c r="D301" s="11"/>
      <c r="E301" s="11"/>
      <c r="F301" s="11"/>
      <c r="G301" s="11"/>
    </row>
    <row r="302">
      <c r="B302" s="11"/>
      <c r="C302" s="11"/>
      <c r="D302" s="11"/>
      <c r="E302" s="11"/>
      <c r="F302" s="11"/>
      <c r="G302" s="11"/>
    </row>
    <row r="303">
      <c r="B303" s="11"/>
      <c r="C303" s="11"/>
      <c r="D303" s="11"/>
      <c r="E303" s="11"/>
      <c r="F303" s="11"/>
      <c r="G303" s="11"/>
    </row>
    <row r="304">
      <c r="B304" s="11"/>
      <c r="C304" s="11"/>
      <c r="D304" s="11"/>
      <c r="E304" s="11"/>
      <c r="F304" s="11"/>
      <c r="G304" s="11"/>
    </row>
    <row r="305">
      <c r="B305" s="11"/>
      <c r="C305" s="11"/>
      <c r="D305" s="11"/>
      <c r="E305" s="11"/>
      <c r="F305" s="11"/>
      <c r="G305" s="11"/>
    </row>
    <row r="306">
      <c r="B306" s="11"/>
      <c r="C306" s="11"/>
      <c r="D306" s="11"/>
      <c r="E306" s="11"/>
      <c r="F306" s="11"/>
      <c r="G306" s="11"/>
    </row>
    <row r="307">
      <c r="B307" s="11"/>
      <c r="C307" s="11"/>
      <c r="D307" s="11"/>
      <c r="E307" s="11"/>
      <c r="F307" s="11"/>
      <c r="G307" s="11"/>
    </row>
    <row r="308">
      <c r="B308" s="11"/>
      <c r="C308" s="11"/>
      <c r="D308" s="11"/>
      <c r="E308" s="11"/>
      <c r="F308" s="11"/>
      <c r="G308" s="11"/>
    </row>
    <row r="309">
      <c r="B309" s="11"/>
      <c r="C309" s="11"/>
      <c r="D309" s="11"/>
      <c r="E309" s="11"/>
      <c r="F309" s="11"/>
      <c r="G309" s="11"/>
    </row>
    <row r="310">
      <c r="B310" s="11"/>
      <c r="C310" s="11"/>
      <c r="D310" s="11"/>
      <c r="E310" s="11"/>
      <c r="F310" s="11"/>
      <c r="G310" s="11"/>
    </row>
    <row r="311">
      <c r="B311" s="11"/>
      <c r="C311" s="11"/>
      <c r="D311" s="11"/>
      <c r="E311" s="11"/>
      <c r="F311" s="11"/>
      <c r="G311" s="11"/>
    </row>
    <row r="312">
      <c r="B312" s="11"/>
      <c r="C312" s="11"/>
      <c r="D312" s="11"/>
      <c r="E312" s="11"/>
      <c r="F312" s="11"/>
      <c r="G312" s="11"/>
    </row>
    <row r="313">
      <c r="B313" s="11"/>
      <c r="C313" s="11"/>
      <c r="D313" s="11"/>
      <c r="E313" s="11"/>
      <c r="F313" s="11"/>
      <c r="G313" s="11"/>
    </row>
    <row r="314">
      <c r="B314" s="11"/>
      <c r="C314" s="11"/>
      <c r="D314" s="11"/>
      <c r="E314" s="11"/>
      <c r="F314" s="11"/>
      <c r="G314" s="11"/>
    </row>
    <row r="315">
      <c r="B315" s="11"/>
      <c r="C315" s="11"/>
      <c r="D315" s="11"/>
      <c r="E315" s="11"/>
      <c r="F315" s="11"/>
      <c r="G315" s="11"/>
    </row>
    <row r="316">
      <c r="B316" s="11"/>
      <c r="C316" s="11"/>
      <c r="D316" s="11"/>
      <c r="E316" s="11"/>
      <c r="F316" s="11"/>
      <c r="G316" s="11"/>
    </row>
    <row r="317">
      <c r="B317" s="11"/>
      <c r="C317" s="11"/>
      <c r="D317" s="11"/>
      <c r="E317" s="11"/>
      <c r="F317" s="11"/>
      <c r="G317" s="11"/>
    </row>
    <row r="318">
      <c r="B318" s="11"/>
      <c r="C318" s="11"/>
      <c r="D318" s="11"/>
      <c r="E318" s="11"/>
      <c r="F318" s="11"/>
      <c r="G318" s="11"/>
    </row>
    <row r="319">
      <c r="B319" s="11"/>
      <c r="C319" s="11"/>
      <c r="D319" s="11"/>
      <c r="E319" s="11"/>
      <c r="F319" s="11"/>
      <c r="G319" s="11"/>
    </row>
    <row r="320">
      <c r="B320" s="11"/>
      <c r="C320" s="11"/>
      <c r="D320" s="11"/>
      <c r="E320" s="11"/>
      <c r="F320" s="11"/>
      <c r="G320" s="11"/>
    </row>
    <row r="321">
      <c r="B321" s="11"/>
      <c r="C321" s="11"/>
      <c r="D321" s="11"/>
      <c r="E321" s="11"/>
      <c r="F321" s="11"/>
      <c r="G321" s="11"/>
    </row>
    <row r="322">
      <c r="B322" s="11"/>
      <c r="C322" s="11"/>
      <c r="D322" s="11"/>
      <c r="E322" s="11"/>
      <c r="F322" s="11"/>
      <c r="G322" s="11"/>
    </row>
    <row r="323">
      <c r="B323" s="11"/>
      <c r="C323" s="11"/>
      <c r="D323" s="11"/>
      <c r="E323" s="11"/>
      <c r="F323" s="11"/>
      <c r="G323" s="11"/>
    </row>
    <row r="324">
      <c r="B324" s="11"/>
      <c r="C324" s="11"/>
      <c r="D324" s="11"/>
      <c r="E324" s="11"/>
      <c r="F324" s="11"/>
      <c r="G324" s="11"/>
    </row>
    <row r="325">
      <c r="B325" s="11"/>
      <c r="C325" s="11"/>
      <c r="D325" s="11"/>
      <c r="E325" s="11"/>
      <c r="F325" s="11"/>
      <c r="G325" s="11"/>
    </row>
    <row r="326">
      <c r="B326" s="11"/>
      <c r="C326" s="11"/>
      <c r="D326" s="11"/>
      <c r="E326" s="11"/>
      <c r="F326" s="11"/>
      <c r="G326" s="11"/>
    </row>
    <row r="327">
      <c r="B327" s="11"/>
      <c r="C327" s="11"/>
      <c r="D327" s="11"/>
      <c r="E327" s="11"/>
      <c r="F327" s="11"/>
      <c r="G327" s="11"/>
    </row>
    <row r="328">
      <c r="B328" s="11"/>
      <c r="C328" s="11"/>
      <c r="D328" s="11"/>
      <c r="E328" s="11"/>
      <c r="F328" s="11"/>
      <c r="G328" s="11"/>
    </row>
    <row r="329">
      <c r="B329" s="11"/>
      <c r="C329" s="11"/>
      <c r="D329" s="11"/>
      <c r="E329" s="11"/>
      <c r="F329" s="11"/>
      <c r="G329" s="11"/>
    </row>
    <row r="330">
      <c r="B330" s="11"/>
      <c r="C330" s="11"/>
      <c r="D330" s="11"/>
      <c r="E330" s="11"/>
      <c r="F330" s="11"/>
      <c r="G330" s="11"/>
    </row>
    <row r="331">
      <c r="B331" s="11"/>
      <c r="C331" s="11"/>
      <c r="D331" s="11"/>
      <c r="E331" s="11"/>
      <c r="F331" s="11"/>
      <c r="G331" s="11"/>
    </row>
    <row r="332">
      <c r="B332" s="11"/>
      <c r="C332" s="11"/>
      <c r="D332" s="11"/>
      <c r="E332" s="11"/>
      <c r="F332" s="11"/>
      <c r="G332" s="11"/>
    </row>
    <row r="333">
      <c r="B333" s="11"/>
      <c r="C333" s="11"/>
      <c r="D333" s="11"/>
      <c r="E333" s="11"/>
      <c r="F333" s="11"/>
      <c r="G333" s="11"/>
    </row>
    <row r="334">
      <c r="B334" s="11"/>
      <c r="C334" s="11"/>
      <c r="D334" s="11"/>
      <c r="E334" s="11"/>
      <c r="F334" s="11"/>
      <c r="G334" s="11"/>
    </row>
    <row r="335">
      <c r="B335" s="11"/>
      <c r="C335" s="11"/>
      <c r="D335" s="11"/>
      <c r="E335" s="11"/>
      <c r="F335" s="11"/>
      <c r="G335" s="11"/>
    </row>
    <row r="336">
      <c r="B336" s="11"/>
      <c r="C336" s="11"/>
      <c r="D336" s="11"/>
      <c r="E336" s="11"/>
      <c r="F336" s="11"/>
      <c r="G336" s="11"/>
    </row>
    <row r="337">
      <c r="B337" s="11"/>
      <c r="C337" s="11"/>
      <c r="D337" s="11"/>
      <c r="E337" s="11"/>
      <c r="F337" s="11"/>
      <c r="G337" s="11"/>
    </row>
    <row r="338">
      <c r="B338" s="11"/>
      <c r="C338" s="11"/>
      <c r="D338" s="11"/>
      <c r="E338" s="11"/>
      <c r="F338" s="11"/>
      <c r="G338" s="11"/>
    </row>
    <row r="339">
      <c r="B339" s="11"/>
      <c r="C339" s="11"/>
      <c r="D339" s="11"/>
      <c r="E339" s="11"/>
      <c r="F339" s="11"/>
      <c r="G339" s="11"/>
    </row>
    <row r="340">
      <c r="B340" s="11"/>
      <c r="C340" s="11"/>
      <c r="D340" s="11"/>
      <c r="E340" s="11"/>
      <c r="F340" s="11"/>
      <c r="G340" s="11"/>
    </row>
    <row r="341">
      <c r="B341" s="11"/>
      <c r="C341" s="11"/>
      <c r="D341" s="11"/>
      <c r="E341" s="11"/>
      <c r="F341" s="11"/>
      <c r="G341" s="11"/>
    </row>
    <row r="342">
      <c r="B342" s="11"/>
      <c r="C342" s="11"/>
      <c r="D342" s="11"/>
      <c r="E342" s="11"/>
      <c r="F342" s="11"/>
      <c r="G342" s="11"/>
    </row>
    <row r="343">
      <c r="B343" s="11"/>
      <c r="C343" s="11"/>
      <c r="D343" s="11"/>
      <c r="E343" s="11"/>
      <c r="F343" s="11"/>
      <c r="G343" s="11"/>
    </row>
    <row r="344">
      <c r="B344" s="11"/>
      <c r="C344" s="11"/>
      <c r="D344" s="11"/>
      <c r="E344" s="11"/>
      <c r="F344" s="11"/>
      <c r="G344" s="11"/>
    </row>
    <row r="345">
      <c r="B345" s="11"/>
      <c r="C345" s="11"/>
      <c r="D345" s="11"/>
      <c r="E345" s="11"/>
      <c r="F345" s="11"/>
      <c r="G345" s="11"/>
    </row>
    <row r="346">
      <c r="B346" s="11"/>
      <c r="C346" s="11"/>
      <c r="D346" s="11"/>
      <c r="E346" s="11"/>
      <c r="F346" s="11"/>
      <c r="G346" s="11"/>
    </row>
    <row r="347">
      <c r="B347" s="11"/>
      <c r="C347" s="11"/>
      <c r="D347" s="11"/>
      <c r="E347" s="11"/>
      <c r="F347" s="11"/>
      <c r="G347" s="11"/>
    </row>
    <row r="348">
      <c r="B348" s="11"/>
      <c r="C348" s="11"/>
      <c r="D348" s="11"/>
      <c r="E348" s="11"/>
      <c r="F348" s="11"/>
      <c r="G348" s="11"/>
    </row>
    <row r="349">
      <c r="B349" s="11"/>
      <c r="C349" s="11"/>
      <c r="D349" s="11"/>
      <c r="E349" s="11"/>
      <c r="F349" s="11"/>
      <c r="G349" s="11"/>
    </row>
    <row r="350">
      <c r="B350" s="11"/>
      <c r="C350" s="11"/>
      <c r="D350" s="11"/>
      <c r="E350" s="11"/>
      <c r="F350" s="11"/>
      <c r="G350" s="11"/>
    </row>
    <row r="351">
      <c r="B351" s="11"/>
      <c r="C351" s="11"/>
      <c r="D351" s="11"/>
      <c r="E351" s="11"/>
      <c r="F351" s="11"/>
      <c r="G351" s="11"/>
    </row>
    <row r="352">
      <c r="B352" s="11"/>
      <c r="C352" s="11"/>
      <c r="D352" s="11"/>
      <c r="E352" s="11"/>
      <c r="F352" s="11"/>
      <c r="G352" s="11"/>
    </row>
    <row r="353">
      <c r="B353" s="11"/>
      <c r="C353" s="11"/>
      <c r="D353" s="11"/>
      <c r="E353" s="11"/>
      <c r="F353" s="11"/>
      <c r="G353" s="11"/>
    </row>
    <row r="354">
      <c r="B354" s="11"/>
      <c r="C354" s="11"/>
      <c r="D354" s="11"/>
      <c r="E354" s="11"/>
      <c r="F354" s="11"/>
      <c r="G354" s="11"/>
    </row>
    <row r="355">
      <c r="B355" s="11"/>
      <c r="C355" s="11"/>
      <c r="D355" s="11"/>
      <c r="E355" s="11"/>
      <c r="F355" s="11"/>
      <c r="G355" s="11"/>
    </row>
    <row r="356">
      <c r="B356" s="11"/>
      <c r="C356" s="11"/>
      <c r="D356" s="11"/>
      <c r="E356" s="11"/>
      <c r="F356" s="11"/>
      <c r="G356" s="11"/>
    </row>
    <row r="357">
      <c r="B357" s="11"/>
      <c r="C357" s="11"/>
      <c r="D357" s="11"/>
      <c r="E357" s="11"/>
      <c r="F357" s="11"/>
      <c r="G357" s="11"/>
    </row>
    <row r="358">
      <c r="B358" s="11"/>
      <c r="C358" s="11"/>
      <c r="D358" s="11"/>
      <c r="E358" s="11"/>
      <c r="F358" s="11"/>
      <c r="G358" s="11"/>
    </row>
    <row r="359">
      <c r="B359" s="11"/>
      <c r="C359" s="11"/>
      <c r="D359" s="11"/>
      <c r="E359" s="11"/>
      <c r="F359" s="11"/>
      <c r="G359" s="11"/>
    </row>
    <row r="360">
      <c r="B360" s="11"/>
      <c r="C360" s="11"/>
      <c r="D360" s="11"/>
      <c r="E360" s="11"/>
      <c r="F360" s="11"/>
      <c r="G360" s="11"/>
    </row>
    <row r="361">
      <c r="B361" s="11"/>
      <c r="C361" s="11"/>
      <c r="D361" s="11"/>
      <c r="E361" s="11"/>
      <c r="F361" s="11"/>
      <c r="G361" s="11"/>
    </row>
    <row r="362">
      <c r="B362" s="11"/>
      <c r="C362" s="11"/>
      <c r="D362" s="11"/>
      <c r="E362" s="11"/>
      <c r="F362" s="11"/>
      <c r="G362" s="11"/>
    </row>
    <row r="363">
      <c r="B363" s="11"/>
      <c r="C363" s="11"/>
      <c r="D363" s="11"/>
      <c r="E363" s="11"/>
      <c r="F363" s="11"/>
      <c r="G363" s="11"/>
    </row>
    <row r="364">
      <c r="B364" s="11"/>
      <c r="C364" s="11"/>
      <c r="D364" s="11"/>
      <c r="E364" s="11"/>
      <c r="F364" s="11"/>
      <c r="G364" s="11"/>
    </row>
    <row r="365">
      <c r="B365" s="11"/>
      <c r="C365" s="11"/>
      <c r="D365" s="11"/>
      <c r="E365" s="11"/>
      <c r="F365" s="11"/>
      <c r="G365" s="11"/>
    </row>
    <row r="366">
      <c r="B366" s="11"/>
      <c r="C366" s="11"/>
      <c r="D366" s="11"/>
      <c r="E366" s="11"/>
      <c r="F366" s="11"/>
      <c r="G366" s="11"/>
    </row>
    <row r="367">
      <c r="B367" s="11"/>
      <c r="C367" s="11"/>
      <c r="D367" s="11"/>
      <c r="E367" s="11"/>
      <c r="F367" s="11"/>
      <c r="G367" s="11"/>
    </row>
    <row r="368">
      <c r="B368" s="11"/>
      <c r="C368" s="11"/>
      <c r="D368" s="11"/>
      <c r="E368" s="11"/>
      <c r="F368" s="11"/>
      <c r="G368" s="11"/>
    </row>
    <row r="369">
      <c r="B369" s="11"/>
      <c r="C369" s="11"/>
      <c r="D369" s="11"/>
      <c r="E369" s="11"/>
      <c r="F369" s="11"/>
      <c r="G369" s="11"/>
    </row>
    <row r="370">
      <c r="B370" s="11"/>
      <c r="C370" s="11"/>
      <c r="D370" s="11"/>
      <c r="E370" s="11"/>
      <c r="F370" s="11"/>
      <c r="G370" s="11"/>
    </row>
    <row r="371">
      <c r="B371" s="11"/>
      <c r="C371" s="11"/>
      <c r="D371" s="11"/>
      <c r="E371" s="11"/>
      <c r="F371" s="11"/>
      <c r="G371" s="11"/>
    </row>
    <row r="372">
      <c r="B372" s="11"/>
      <c r="C372" s="11"/>
      <c r="D372" s="11"/>
      <c r="E372" s="11"/>
      <c r="F372" s="11"/>
      <c r="G372" s="11"/>
    </row>
    <row r="373">
      <c r="B373" s="11"/>
      <c r="C373" s="11"/>
      <c r="D373" s="11"/>
      <c r="E373" s="11"/>
      <c r="F373" s="11"/>
      <c r="G373" s="11"/>
    </row>
    <row r="374">
      <c r="B374" s="11"/>
      <c r="C374" s="11"/>
      <c r="D374" s="11"/>
      <c r="E374" s="11"/>
      <c r="F374" s="11"/>
      <c r="G374" s="11"/>
    </row>
    <row r="375">
      <c r="B375" s="11"/>
      <c r="C375" s="11"/>
      <c r="D375" s="11"/>
      <c r="E375" s="11"/>
      <c r="F375" s="11"/>
      <c r="G375" s="11"/>
    </row>
    <row r="376">
      <c r="B376" s="11"/>
      <c r="C376" s="11"/>
      <c r="D376" s="11"/>
      <c r="E376" s="11"/>
      <c r="F376" s="11"/>
      <c r="G376" s="11"/>
    </row>
    <row r="377">
      <c r="B377" s="11"/>
      <c r="C377" s="11"/>
      <c r="D377" s="11"/>
      <c r="E377" s="11"/>
      <c r="F377" s="11"/>
      <c r="G377" s="11"/>
    </row>
    <row r="378">
      <c r="B378" s="11"/>
      <c r="C378" s="11"/>
      <c r="D378" s="11"/>
      <c r="E378" s="11"/>
      <c r="F378" s="11"/>
      <c r="G378" s="11"/>
    </row>
    <row r="379">
      <c r="B379" s="11"/>
      <c r="C379" s="11"/>
      <c r="D379" s="11"/>
      <c r="E379" s="11"/>
      <c r="F379" s="11"/>
      <c r="G379" s="11"/>
    </row>
    <row r="380">
      <c r="B380" s="11"/>
      <c r="C380" s="11"/>
      <c r="D380" s="11"/>
      <c r="E380" s="11"/>
      <c r="F380" s="11"/>
      <c r="G380" s="11"/>
    </row>
    <row r="381">
      <c r="B381" s="11"/>
      <c r="C381" s="11"/>
      <c r="D381" s="11"/>
      <c r="E381" s="11"/>
      <c r="F381" s="11"/>
      <c r="G381" s="11"/>
    </row>
    <row r="382">
      <c r="B382" s="11"/>
      <c r="C382" s="11"/>
      <c r="D382" s="11"/>
      <c r="E382" s="11"/>
      <c r="F382" s="11"/>
      <c r="G382" s="11"/>
    </row>
    <row r="383">
      <c r="B383" s="11"/>
      <c r="C383" s="11"/>
      <c r="D383" s="11"/>
      <c r="E383" s="11"/>
      <c r="F383" s="11"/>
      <c r="G383" s="11"/>
    </row>
    <row r="384">
      <c r="B384" s="11"/>
      <c r="C384" s="11"/>
      <c r="D384" s="11"/>
      <c r="E384" s="11"/>
      <c r="F384" s="11"/>
      <c r="G384" s="11"/>
    </row>
    <row r="385">
      <c r="B385" s="11"/>
      <c r="C385" s="11"/>
      <c r="D385" s="11"/>
      <c r="E385" s="11"/>
      <c r="F385" s="11"/>
      <c r="G385" s="11"/>
    </row>
    <row r="386">
      <c r="B386" s="11"/>
      <c r="C386" s="11"/>
      <c r="D386" s="11"/>
      <c r="E386" s="11"/>
      <c r="F386" s="11"/>
      <c r="G386" s="11"/>
    </row>
    <row r="387">
      <c r="B387" s="11"/>
      <c r="C387" s="11"/>
      <c r="D387" s="11"/>
      <c r="E387" s="11"/>
      <c r="F387" s="11"/>
      <c r="G387" s="11"/>
    </row>
    <row r="388">
      <c r="B388" s="11"/>
      <c r="C388" s="11"/>
      <c r="D388" s="11"/>
      <c r="E388" s="11"/>
      <c r="F388" s="11"/>
      <c r="G388" s="11"/>
    </row>
    <row r="389">
      <c r="B389" s="11"/>
      <c r="C389" s="11"/>
      <c r="D389" s="11"/>
      <c r="E389" s="11"/>
      <c r="F389" s="11"/>
      <c r="G389" s="11"/>
    </row>
    <row r="390">
      <c r="B390" s="11"/>
      <c r="C390" s="11"/>
      <c r="D390" s="11"/>
      <c r="E390" s="11"/>
      <c r="F390" s="11"/>
      <c r="G390" s="11"/>
    </row>
    <row r="391">
      <c r="B391" s="11"/>
      <c r="C391" s="11"/>
      <c r="D391" s="11"/>
      <c r="E391" s="11"/>
      <c r="F391" s="11"/>
      <c r="G391" s="11"/>
    </row>
    <row r="392">
      <c r="B392" s="11"/>
      <c r="C392" s="11"/>
      <c r="D392" s="11"/>
      <c r="E392" s="11"/>
      <c r="F392" s="11"/>
      <c r="G392" s="11"/>
    </row>
    <row r="393">
      <c r="B393" s="11"/>
      <c r="C393" s="11"/>
      <c r="D393" s="11"/>
      <c r="E393" s="11"/>
      <c r="F393" s="11"/>
      <c r="G393" s="11"/>
    </row>
    <row r="394">
      <c r="B394" s="11"/>
      <c r="C394" s="11"/>
      <c r="D394" s="11"/>
      <c r="E394" s="11"/>
      <c r="F394" s="11"/>
      <c r="G394" s="11"/>
    </row>
    <row r="395">
      <c r="B395" s="11"/>
      <c r="C395" s="11"/>
      <c r="D395" s="11"/>
      <c r="E395" s="11"/>
      <c r="F395" s="11"/>
      <c r="G395" s="11"/>
    </row>
    <row r="396">
      <c r="B396" s="11"/>
      <c r="C396" s="11"/>
      <c r="D396" s="11"/>
      <c r="E396" s="11"/>
      <c r="F396" s="11"/>
      <c r="G396" s="11"/>
    </row>
    <row r="397">
      <c r="B397" s="11"/>
      <c r="C397" s="11"/>
      <c r="D397" s="11"/>
      <c r="E397" s="11"/>
      <c r="F397" s="11"/>
      <c r="G397" s="11"/>
    </row>
    <row r="398">
      <c r="B398" s="11"/>
      <c r="C398" s="11"/>
      <c r="D398" s="11"/>
      <c r="E398" s="11"/>
      <c r="F398" s="11"/>
      <c r="G398" s="11"/>
    </row>
    <row r="399">
      <c r="B399" s="11"/>
      <c r="C399" s="11"/>
      <c r="D399" s="11"/>
      <c r="E399" s="11"/>
      <c r="F399" s="11"/>
      <c r="G399" s="11"/>
    </row>
    <row r="400">
      <c r="B400" s="11"/>
      <c r="C400" s="11"/>
      <c r="D400" s="11"/>
      <c r="E400" s="11"/>
      <c r="F400" s="11"/>
      <c r="G400" s="11"/>
    </row>
    <row r="401">
      <c r="B401" s="11"/>
      <c r="C401" s="11"/>
      <c r="D401" s="11"/>
      <c r="E401" s="11"/>
      <c r="F401" s="11"/>
      <c r="G401" s="11"/>
    </row>
    <row r="402">
      <c r="B402" s="11"/>
      <c r="C402" s="11"/>
      <c r="D402" s="11"/>
      <c r="E402" s="11"/>
      <c r="F402" s="11"/>
      <c r="G402" s="11"/>
    </row>
    <row r="403">
      <c r="B403" s="11"/>
      <c r="C403" s="11"/>
      <c r="D403" s="11"/>
      <c r="E403" s="11"/>
      <c r="F403" s="11"/>
      <c r="G403" s="11"/>
    </row>
    <row r="404">
      <c r="B404" s="11"/>
      <c r="C404" s="11"/>
      <c r="D404" s="11"/>
      <c r="E404" s="11"/>
      <c r="F404" s="11"/>
      <c r="G404" s="11"/>
    </row>
    <row r="405">
      <c r="B405" s="11"/>
      <c r="C405" s="11"/>
      <c r="D405" s="11"/>
      <c r="E405" s="11"/>
      <c r="F405" s="11"/>
      <c r="G405" s="11"/>
    </row>
    <row r="406">
      <c r="B406" s="11"/>
      <c r="C406" s="11"/>
      <c r="D406" s="11"/>
      <c r="E406" s="11"/>
      <c r="F406" s="11"/>
      <c r="G406" s="11"/>
    </row>
    <row r="407">
      <c r="B407" s="11"/>
      <c r="C407" s="11"/>
      <c r="D407" s="11"/>
      <c r="E407" s="11"/>
      <c r="F407" s="11"/>
      <c r="G407" s="11"/>
    </row>
    <row r="408">
      <c r="B408" s="11"/>
      <c r="C408" s="11"/>
      <c r="D408" s="11"/>
      <c r="E408" s="11"/>
      <c r="F408" s="11"/>
      <c r="G408" s="11"/>
    </row>
    <row r="409">
      <c r="B409" s="11"/>
      <c r="C409" s="11"/>
      <c r="D409" s="11"/>
      <c r="E409" s="11"/>
      <c r="F409" s="11"/>
      <c r="G409" s="11"/>
    </row>
    <row r="410">
      <c r="B410" s="11"/>
      <c r="C410" s="11"/>
      <c r="D410" s="11"/>
      <c r="E410" s="11"/>
      <c r="F410" s="11"/>
      <c r="G410" s="11"/>
    </row>
    <row r="411">
      <c r="B411" s="11"/>
      <c r="C411" s="11"/>
      <c r="D411" s="11"/>
      <c r="E411" s="11"/>
      <c r="F411" s="11"/>
      <c r="G411" s="11"/>
    </row>
    <row r="412">
      <c r="B412" s="11"/>
      <c r="C412" s="11"/>
      <c r="D412" s="11"/>
      <c r="E412" s="11"/>
      <c r="F412" s="11"/>
      <c r="G412" s="11"/>
    </row>
    <row r="413">
      <c r="B413" s="11"/>
      <c r="C413" s="11"/>
      <c r="D413" s="11"/>
      <c r="E413" s="11"/>
      <c r="F413" s="11"/>
      <c r="G413" s="11"/>
    </row>
    <row r="414">
      <c r="B414" s="11"/>
      <c r="C414" s="11"/>
      <c r="D414" s="11"/>
      <c r="E414" s="11"/>
      <c r="F414" s="11"/>
      <c r="G414" s="11"/>
    </row>
    <row r="415">
      <c r="B415" s="11"/>
      <c r="C415" s="11"/>
      <c r="D415" s="11"/>
      <c r="E415" s="11"/>
      <c r="F415" s="11"/>
      <c r="G415" s="11"/>
    </row>
    <row r="416">
      <c r="B416" s="11"/>
      <c r="C416" s="11"/>
      <c r="D416" s="11"/>
      <c r="E416" s="11"/>
      <c r="F416" s="11"/>
      <c r="G416" s="11"/>
    </row>
    <row r="417">
      <c r="B417" s="11"/>
      <c r="C417" s="11"/>
      <c r="D417" s="11"/>
      <c r="E417" s="11"/>
      <c r="F417" s="11"/>
      <c r="G417" s="11"/>
    </row>
    <row r="418">
      <c r="B418" s="11"/>
      <c r="C418" s="11"/>
      <c r="D418" s="11"/>
      <c r="E418" s="11"/>
      <c r="F418" s="11"/>
      <c r="G418" s="11"/>
    </row>
    <row r="419">
      <c r="B419" s="11"/>
      <c r="C419" s="11"/>
      <c r="D419" s="11"/>
      <c r="E419" s="11"/>
      <c r="F419" s="11"/>
      <c r="G419" s="11"/>
    </row>
    <row r="420">
      <c r="B420" s="11"/>
      <c r="C420" s="11"/>
      <c r="D420" s="11"/>
      <c r="E420" s="11"/>
      <c r="F420" s="11"/>
      <c r="G420" s="11"/>
    </row>
    <row r="421">
      <c r="B421" s="11"/>
      <c r="C421" s="11"/>
      <c r="D421" s="11"/>
      <c r="E421" s="11"/>
      <c r="F421" s="11"/>
      <c r="G421" s="11"/>
    </row>
    <row r="422">
      <c r="B422" s="11"/>
      <c r="C422" s="11"/>
      <c r="D422" s="11"/>
      <c r="E422" s="11"/>
      <c r="F422" s="11"/>
      <c r="G422" s="11"/>
    </row>
    <row r="423">
      <c r="B423" s="11"/>
      <c r="C423" s="11"/>
      <c r="D423" s="11"/>
      <c r="E423" s="11"/>
      <c r="F423" s="11"/>
      <c r="G423" s="11"/>
    </row>
    <row r="424">
      <c r="B424" s="11"/>
      <c r="C424" s="11"/>
      <c r="D424" s="11"/>
      <c r="E424" s="11"/>
      <c r="F424" s="11"/>
      <c r="G424" s="11"/>
    </row>
    <row r="425">
      <c r="B425" s="11"/>
      <c r="C425" s="11"/>
      <c r="D425" s="11"/>
      <c r="E425" s="11"/>
      <c r="F425" s="11"/>
      <c r="G425" s="11"/>
    </row>
    <row r="426">
      <c r="B426" s="11"/>
      <c r="C426" s="11"/>
      <c r="D426" s="11"/>
      <c r="E426" s="11"/>
      <c r="F426" s="11"/>
      <c r="G426" s="11"/>
    </row>
    <row r="427">
      <c r="B427" s="11"/>
      <c r="C427" s="11"/>
      <c r="D427" s="11"/>
      <c r="E427" s="11"/>
      <c r="F427" s="11"/>
      <c r="G427" s="11"/>
    </row>
    <row r="428">
      <c r="B428" s="11"/>
      <c r="C428" s="11"/>
      <c r="D428" s="11"/>
      <c r="E428" s="11"/>
      <c r="F428" s="11"/>
      <c r="G428" s="11"/>
    </row>
    <row r="429">
      <c r="B429" s="11"/>
      <c r="C429" s="11"/>
      <c r="D429" s="11"/>
      <c r="E429" s="11"/>
      <c r="F429" s="11"/>
      <c r="G429" s="11"/>
    </row>
    <row r="430">
      <c r="B430" s="11"/>
      <c r="C430" s="11"/>
      <c r="D430" s="11"/>
      <c r="E430" s="11"/>
      <c r="F430" s="11"/>
      <c r="G430" s="11"/>
    </row>
    <row r="431">
      <c r="B431" s="11"/>
      <c r="C431" s="11"/>
      <c r="D431" s="11"/>
      <c r="E431" s="11"/>
      <c r="F431" s="11"/>
      <c r="G431" s="11"/>
    </row>
    <row r="432">
      <c r="B432" s="11"/>
      <c r="C432" s="11"/>
      <c r="D432" s="11"/>
      <c r="E432" s="11"/>
      <c r="F432" s="11"/>
      <c r="G432" s="11"/>
    </row>
    <row r="433">
      <c r="B433" s="11"/>
      <c r="C433" s="11"/>
      <c r="D433" s="11"/>
      <c r="E433" s="11"/>
      <c r="F433" s="11"/>
      <c r="G433" s="11"/>
    </row>
    <row r="434">
      <c r="B434" s="11"/>
      <c r="C434" s="11"/>
      <c r="D434" s="11"/>
      <c r="E434" s="11"/>
      <c r="F434" s="11"/>
      <c r="G434" s="11"/>
    </row>
    <row r="435">
      <c r="B435" s="11"/>
      <c r="C435" s="11"/>
      <c r="D435" s="11"/>
      <c r="E435" s="11"/>
      <c r="F435" s="11"/>
      <c r="G435" s="11"/>
    </row>
    <row r="436">
      <c r="B436" s="11"/>
      <c r="C436" s="11"/>
      <c r="D436" s="11"/>
      <c r="E436" s="11"/>
      <c r="F436" s="11"/>
      <c r="G436" s="11"/>
    </row>
    <row r="437">
      <c r="B437" s="11"/>
      <c r="C437" s="11"/>
      <c r="D437" s="11"/>
      <c r="E437" s="11"/>
      <c r="F437" s="11"/>
      <c r="G437" s="11"/>
    </row>
    <row r="438">
      <c r="B438" s="11"/>
      <c r="C438" s="11"/>
      <c r="D438" s="11"/>
      <c r="E438" s="11"/>
      <c r="F438" s="11"/>
      <c r="G438" s="11"/>
    </row>
    <row r="439">
      <c r="B439" s="11"/>
      <c r="C439" s="11"/>
      <c r="D439" s="11"/>
      <c r="E439" s="11"/>
      <c r="F439" s="11"/>
      <c r="G439" s="11"/>
    </row>
    <row r="440">
      <c r="B440" s="11"/>
      <c r="C440" s="11"/>
      <c r="D440" s="11"/>
      <c r="E440" s="11"/>
      <c r="F440" s="11"/>
      <c r="G440" s="11"/>
    </row>
    <row r="441">
      <c r="B441" s="11"/>
      <c r="C441" s="11"/>
      <c r="D441" s="11"/>
      <c r="E441" s="11"/>
      <c r="F441" s="11"/>
      <c r="G441" s="11"/>
    </row>
    <row r="442">
      <c r="B442" s="11"/>
      <c r="C442" s="11"/>
      <c r="D442" s="11"/>
      <c r="E442" s="11"/>
      <c r="F442" s="11"/>
      <c r="G442" s="11"/>
    </row>
    <row r="443">
      <c r="B443" s="11"/>
      <c r="C443" s="11"/>
      <c r="D443" s="11"/>
      <c r="E443" s="11"/>
      <c r="F443" s="11"/>
      <c r="G443" s="11"/>
    </row>
    <row r="444">
      <c r="B444" s="11"/>
      <c r="C444" s="11"/>
      <c r="D444" s="11"/>
      <c r="E444" s="11"/>
      <c r="F444" s="11"/>
      <c r="G444" s="11"/>
    </row>
    <row r="445">
      <c r="B445" s="11"/>
      <c r="C445" s="11"/>
      <c r="D445" s="11"/>
      <c r="E445" s="11"/>
      <c r="F445" s="11"/>
      <c r="G445" s="11"/>
    </row>
    <row r="446">
      <c r="B446" s="11"/>
      <c r="C446" s="11"/>
      <c r="D446" s="11"/>
      <c r="E446" s="11"/>
      <c r="F446" s="11"/>
      <c r="G446" s="11"/>
    </row>
    <row r="447">
      <c r="B447" s="11"/>
      <c r="C447" s="11"/>
      <c r="D447" s="11"/>
      <c r="E447" s="11"/>
      <c r="F447" s="11"/>
      <c r="G447" s="11"/>
    </row>
    <row r="448">
      <c r="B448" s="11"/>
      <c r="C448" s="11"/>
      <c r="D448" s="11"/>
      <c r="E448" s="11"/>
      <c r="F448" s="11"/>
      <c r="G448" s="11"/>
    </row>
    <row r="449">
      <c r="B449" s="11"/>
      <c r="C449" s="11"/>
      <c r="D449" s="11"/>
      <c r="E449" s="11"/>
      <c r="F449" s="11"/>
      <c r="G449" s="11"/>
    </row>
    <row r="450">
      <c r="B450" s="11"/>
      <c r="C450" s="11"/>
      <c r="D450" s="11"/>
      <c r="E450" s="11"/>
      <c r="F450" s="11"/>
      <c r="G450" s="11"/>
    </row>
    <row r="451">
      <c r="B451" s="11"/>
      <c r="C451" s="11"/>
      <c r="D451" s="11"/>
      <c r="E451" s="11"/>
      <c r="F451" s="11"/>
      <c r="G451" s="11"/>
    </row>
    <row r="452">
      <c r="B452" s="11"/>
      <c r="C452" s="11"/>
      <c r="D452" s="11"/>
      <c r="E452" s="11"/>
      <c r="F452" s="11"/>
      <c r="G452" s="11"/>
    </row>
    <row r="453">
      <c r="B453" s="11"/>
      <c r="C453" s="11"/>
      <c r="D453" s="11"/>
      <c r="E453" s="11"/>
      <c r="F453" s="11"/>
      <c r="G453" s="11"/>
    </row>
    <row r="454">
      <c r="B454" s="11"/>
      <c r="C454" s="11"/>
      <c r="D454" s="11"/>
      <c r="E454" s="11"/>
      <c r="F454" s="11"/>
      <c r="G454" s="11"/>
    </row>
    <row r="455">
      <c r="B455" s="11"/>
      <c r="C455" s="11"/>
      <c r="D455" s="11"/>
      <c r="E455" s="11"/>
      <c r="F455" s="11"/>
      <c r="G455" s="11"/>
    </row>
    <row r="456">
      <c r="B456" s="11"/>
      <c r="C456" s="11"/>
      <c r="D456" s="11"/>
      <c r="E456" s="11"/>
      <c r="F456" s="11"/>
      <c r="G456" s="11"/>
    </row>
    <row r="457">
      <c r="B457" s="11"/>
      <c r="C457" s="11"/>
      <c r="D457" s="11"/>
      <c r="E457" s="11"/>
      <c r="F457" s="11"/>
      <c r="G457" s="11"/>
    </row>
    <row r="458">
      <c r="B458" s="11"/>
      <c r="C458" s="11"/>
      <c r="D458" s="11"/>
      <c r="E458" s="11"/>
      <c r="F458" s="11"/>
      <c r="G458" s="11"/>
    </row>
    <row r="459">
      <c r="B459" s="11"/>
      <c r="C459" s="11"/>
      <c r="D459" s="11"/>
      <c r="E459" s="11"/>
      <c r="F459" s="11"/>
      <c r="G459" s="11"/>
    </row>
    <row r="460">
      <c r="B460" s="11"/>
      <c r="C460" s="11"/>
      <c r="D460" s="11"/>
      <c r="E460" s="11"/>
      <c r="F460" s="11"/>
      <c r="G460" s="11"/>
    </row>
    <row r="461">
      <c r="B461" s="11"/>
      <c r="C461" s="11"/>
      <c r="D461" s="11"/>
      <c r="E461" s="11"/>
      <c r="F461" s="11"/>
      <c r="G461" s="11"/>
    </row>
    <row r="462">
      <c r="B462" s="11"/>
      <c r="C462" s="11"/>
      <c r="D462" s="11"/>
      <c r="E462" s="11"/>
      <c r="F462" s="11"/>
      <c r="G462" s="11"/>
    </row>
    <row r="463">
      <c r="B463" s="11"/>
      <c r="C463" s="11"/>
      <c r="D463" s="11"/>
      <c r="E463" s="11"/>
      <c r="F463" s="11"/>
      <c r="G463" s="11"/>
    </row>
    <row r="464">
      <c r="B464" s="11"/>
      <c r="C464" s="11"/>
      <c r="D464" s="11"/>
      <c r="E464" s="11"/>
      <c r="F464" s="11"/>
      <c r="G464" s="11"/>
    </row>
    <row r="465">
      <c r="B465" s="11"/>
      <c r="C465" s="11"/>
      <c r="D465" s="11"/>
      <c r="E465" s="11"/>
      <c r="F465" s="11"/>
      <c r="G465" s="11"/>
    </row>
    <row r="466">
      <c r="B466" s="11"/>
      <c r="C466" s="11"/>
      <c r="D466" s="11"/>
      <c r="E466" s="11"/>
      <c r="F466" s="11"/>
      <c r="G466" s="11"/>
    </row>
    <row r="467">
      <c r="B467" s="11"/>
      <c r="C467" s="11"/>
      <c r="D467" s="11"/>
      <c r="E467" s="11"/>
      <c r="F467" s="11"/>
      <c r="G467" s="11"/>
    </row>
    <row r="468">
      <c r="B468" s="11"/>
      <c r="C468" s="11"/>
      <c r="D468" s="11"/>
      <c r="E468" s="11"/>
      <c r="F468" s="11"/>
      <c r="G468" s="11"/>
    </row>
    <row r="469">
      <c r="B469" s="11"/>
      <c r="C469" s="11"/>
      <c r="D469" s="11"/>
      <c r="E469" s="11"/>
      <c r="F469" s="11"/>
      <c r="G469" s="11"/>
    </row>
    <row r="470">
      <c r="B470" s="11"/>
      <c r="C470" s="11"/>
      <c r="D470" s="11"/>
      <c r="E470" s="11"/>
      <c r="F470" s="11"/>
      <c r="G470" s="11"/>
    </row>
    <row r="471">
      <c r="B471" s="11"/>
      <c r="C471" s="11"/>
      <c r="D471" s="11"/>
      <c r="E471" s="11"/>
      <c r="F471" s="11"/>
      <c r="G471" s="11"/>
    </row>
    <row r="472">
      <c r="B472" s="11"/>
      <c r="C472" s="11"/>
      <c r="D472" s="11"/>
      <c r="E472" s="11"/>
      <c r="F472" s="11"/>
      <c r="G472" s="11"/>
    </row>
    <row r="473">
      <c r="B473" s="11"/>
      <c r="C473" s="11"/>
      <c r="D473" s="11"/>
      <c r="E473" s="11"/>
      <c r="F473" s="11"/>
      <c r="G473" s="11"/>
    </row>
    <row r="474">
      <c r="B474" s="11"/>
      <c r="C474" s="11"/>
      <c r="D474" s="11"/>
      <c r="E474" s="11"/>
      <c r="F474" s="11"/>
      <c r="G474" s="11"/>
    </row>
    <row r="475">
      <c r="B475" s="11"/>
      <c r="C475" s="11"/>
      <c r="D475" s="11"/>
      <c r="E475" s="11"/>
      <c r="F475" s="11"/>
      <c r="G475" s="11"/>
    </row>
    <row r="476">
      <c r="B476" s="11"/>
      <c r="C476" s="11"/>
      <c r="D476" s="11"/>
      <c r="E476" s="11"/>
      <c r="F476" s="11"/>
      <c r="G476" s="11"/>
    </row>
    <row r="477">
      <c r="B477" s="11"/>
      <c r="C477" s="11"/>
      <c r="D477" s="11"/>
      <c r="E477" s="11"/>
      <c r="F477" s="11"/>
      <c r="G477" s="11"/>
    </row>
    <row r="478">
      <c r="B478" s="11"/>
      <c r="C478" s="11"/>
      <c r="D478" s="11"/>
      <c r="E478" s="11"/>
      <c r="F478" s="11"/>
      <c r="G478" s="11"/>
    </row>
    <row r="479">
      <c r="B479" s="11"/>
      <c r="C479" s="11"/>
      <c r="D479" s="11"/>
      <c r="E479" s="11"/>
      <c r="F479" s="11"/>
      <c r="G479" s="11"/>
    </row>
    <row r="480">
      <c r="B480" s="11"/>
      <c r="C480" s="11"/>
      <c r="D480" s="11"/>
      <c r="E480" s="11"/>
      <c r="F480" s="11"/>
      <c r="G480" s="11"/>
    </row>
    <row r="481">
      <c r="B481" s="11"/>
      <c r="C481" s="11"/>
      <c r="D481" s="11"/>
      <c r="E481" s="11"/>
      <c r="F481" s="11"/>
      <c r="G481" s="11"/>
    </row>
    <row r="482">
      <c r="B482" s="11"/>
      <c r="C482" s="11"/>
      <c r="D482" s="11"/>
      <c r="E482" s="11"/>
      <c r="F482" s="11"/>
      <c r="G482" s="11"/>
    </row>
    <row r="483">
      <c r="B483" s="11"/>
      <c r="C483" s="11"/>
      <c r="D483" s="11"/>
      <c r="E483" s="11"/>
      <c r="F483" s="11"/>
      <c r="G483" s="11"/>
    </row>
    <row r="484">
      <c r="B484" s="11"/>
      <c r="C484" s="11"/>
      <c r="D484" s="11"/>
      <c r="E484" s="11"/>
      <c r="F484" s="11"/>
      <c r="G484" s="11"/>
    </row>
    <row r="485">
      <c r="B485" s="11"/>
      <c r="C485" s="11"/>
      <c r="D485" s="11"/>
      <c r="E485" s="11"/>
      <c r="F485" s="11"/>
      <c r="G485" s="11"/>
    </row>
    <row r="486">
      <c r="B486" s="11"/>
      <c r="C486" s="11"/>
      <c r="D486" s="11"/>
      <c r="E486" s="11"/>
      <c r="F486" s="11"/>
      <c r="G486" s="11"/>
    </row>
    <row r="487">
      <c r="B487" s="11"/>
      <c r="C487" s="11"/>
      <c r="D487" s="11"/>
      <c r="E487" s="11"/>
      <c r="F487" s="11"/>
      <c r="G487" s="11"/>
    </row>
    <row r="488">
      <c r="B488" s="11"/>
      <c r="C488" s="11"/>
      <c r="D488" s="11"/>
      <c r="E488" s="11"/>
      <c r="F488" s="11"/>
      <c r="G488" s="11"/>
    </row>
    <row r="489">
      <c r="B489" s="11"/>
      <c r="C489" s="11"/>
      <c r="D489" s="11"/>
      <c r="E489" s="11"/>
      <c r="F489" s="11"/>
      <c r="G489" s="11"/>
    </row>
    <row r="490">
      <c r="B490" s="11"/>
      <c r="C490" s="11"/>
      <c r="D490" s="11"/>
      <c r="E490" s="11"/>
      <c r="F490" s="11"/>
      <c r="G490" s="11"/>
    </row>
    <row r="491">
      <c r="B491" s="11"/>
      <c r="C491" s="11"/>
      <c r="D491" s="11"/>
      <c r="E491" s="11"/>
      <c r="F491" s="11"/>
      <c r="G491" s="11"/>
    </row>
    <row r="492">
      <c r="B492" s="11"/>
      <c r="C492" s="11"/>
      <c r="D492" s="11"/>
      <c r="E492" s="11"/>
      <c r="F492" s="11"/>
      <c r="G492" s="11"/>
    </row>
    <row r="493">
      <c r="B493" s="11"/>
      <c r="C493" s="11"/>
      <c r="D493" s="11"/>
      <c r="E493" s="11"/>
      <c r="F493" s="11"/>
      <c r="G493" s="11"/>
    </row>
    <row r="494">
      <c r="B494" s="11"/>
      <c r="C494" s="11"/>
      <c r="D494" s="11"/>
      <c r="E494" s="11"/>
      <c r="F494" s="11"/>
      <c r="G494" s="11"/>
    </row>
    <row r="495">
      <c r="B495" s="11"/>
      <c r="C495" s="11"/>
      <c r="D495" s="11"/>
      <c r="E495" s="11"/>
      <c r="F495" s="11"/>
      <c r="G495" s="11"/>
    </row>
    <row r="496">
      <c r="B496" s="11"/>
      <c r="C496" s="11"/>
      <c r="D496" s="11"/>
      <c r="E496" s="11"/>
      <c r="F496" s="11"/>
      <c r="G496" s="11"/>
    </row>
    <row r="497">
      <c r="B497" s="11"/>
      <c r="C497" s="11"/>
      <c r="D497" s="11"/>
      <c r="E497" s="11"/>
      <c r="F497" s="11"/>
      <c r="G497" s="11"/>
    </row>
    <row r="498">
      <c r="B498" s="11"/>
      <c r="C498" s="11"/>
      <c r="D498" s="11"/>
      <c r="E498" s="11"/>
      <c r="F498" s="11"/>
      <c r="G498" s="11"/>
    </row>
    <row r="499">
      <c r="B499" s="11"/>
      <c r="C499" s="11"/>
      <c r="D499" s="11"/>
      <c r="E499" s="11"/>
      <c r="F499" s="11"/>
      <c r="G499" s="11"/>
    </row>
    <row r="500">
      <c r="B500" s="11"/>
      <c r="C500" s="11"/>
      <c r="D500" s="11"/>
      <c r="E500" s="11"/>
      <c r="F500" s="11"/>
      <c r="G500" s="11"/>
    </row>
    <row r="501">
      <c r="B501" s="11"/>
      <c r="C501" s="11"/>
      <c r="D501" s="11"/>
      <c r="E501" s="11"/>
      <c r="F501" s="11"/>
      <c r="G501" s="11"/>
    </row>
    <row r="502">
      <c r="B502" s="11"/>
      <c r="C502" s="11"/>
      <c r="D502" s="11"/>
      <c r="E502" s="11"/>
      <c r="F502" s="11"/>
      <c r="G502" s="11"/>
    </row>
    <row r="503">
      <c r="B503" s="11"/>
      <c r="C503" s="11"/>
      <c r="D503" s="11"/>
      <c r="E503" s="11"/>
      <c r="F503" s="11"/>
      <c r="G503" s="11"/>
    </row>
    <row r="504">
      <c r="B504" s="11"/>
      <c r="C504" s="11"/>
      <c r="D504" s="11"/>
      <c r="E504" s="11"/>
      <c r="F504" s="11"/>
      <c r="G504" s="11"/>
    </row>
    <row r="505">
      <c r="B505" s="11"/>
      <c r="C505" s="11"/>
      <c r="D505" s="11"/>
      <c r="E505" s="11"/>
      <c r="F505" s="11"/>
      <c r="G505" s="11"/>
    </row>
    <row r="506">
      <c r="B506" s="11"/>
      <c r="C506" s="11"/>
      <c r="D506" s="11"/>
      <c r="E506" s="11"/>
      <c r="F506" s="11"/>
      <c r="G506" s="11"/>
    </row>
    <row r="507">
      <c r="B507" s="11"/>
      <c r="C507" s="11"/>
      <c r="D507" s="11"/>
      <c r="E507" s="11"/>
      <c r="F507" s="11"/>
      <c r="G507" s="11"/>
    </row>
    <row r="508">
      <c r="B508" s="11"/>
      <c r="C508" s="11"/>
      <c r="D508" s="11"/>
      <c r="E508" s="11"/>
      <c r="F508" s="11"/>
      <c r="G508" s="11"/>
    </row>
    <row r="509">
      <c r="B509" s="11"/>
      <c r="C509" s="11"/>
      <c r="D509" s="11"/>
      <c r="E509" s="11"/>
      <c r="F509" s="11"/>
      <c r="G509" s="11"/>
    </row>
    <row r="510">
      <c r="B510" s="11"/>
      <c r="C510" s="11"/>
      <c r="D510" s="11"/>
      <c r="E510" s="11"/>
      <c r="F510" s="11"/>
      <c r="G510" s="11"/>
    </row>
    <row r="511">
      <c r="B511" s="11"/>
      <c r="C511" s="11"/>
      <c r="D511" s="11"/>
      <c r="E511" s="11"/>
      <c r="F511" s="11"/>
      <c r="G511" s="11"/>
    </row>
    <row r="512">
      <c r="B512" s="11"/>
      <c r="C512" s="11"/>
      <c r="D512" s="11"/>
      <c r="E512" s="11"/>
      <c r="F512" s="11"/>
      <c r="G512" s="11"/>
    </row>
    <row r="513">
      <c r="B513" s="11"/>
      <c r="C513" s="11"/>
      <c r="D513" s="11"/>
      <c r="E513" s="11"/>
      <c r="F513" s="11"/>
      <c r="G513" s="11"/>
    </row>
    <row r="514">
      <c r="B514" s="11"/>
      <c r="C514" s="11"/>
      <c r="D514" s="11"/>
      <c r="E514" s="11"/>
      <c r="F514" s="11"/>
      <c r="G514" s="11"/>
    </row>
    <row r="515">
      <c r="B515" s="11"/>
      <c r="C515" s="11"/>
      <c r="D515" s="11"/>
      <c r="E515" s="11"/>
      <c r="F515" s="11"/>
      <c r="G515" s="11"/>
    </row>
    <row r="516">
      <c r="B516" s="11"/>
      <c r="C516" s="11"/>
      <c r="D516" s="11"/>
      <c r="E516" s="11"/>
      <c r="F516" s="11"/>
      <c r="G516" s="11"/>
    </row>
    <row r="517">
      <c r="B517" s="11"/>
      <c r="C517" s="11"/>
      <c r="D517" s="11"/>
      <c r="E517" s="11"/>
      <c r="F517" s="11"/>
      <c r="G517" s="11"/>
    </row>
    <row r="518">
      <c r="B518" s="11"/>
      <c r="C518" s="11"/>
      <c r="D518" s="11"/>
      <c r="E518" s="11"/>
      <c r="F518" s="11"/>
      <c r="G518" s="11"/>
    </row>
    <row r="519">
      <c r="B519" s="11"/>
      <c r="C519" s="11"/>
      <c r="D519" s="11"/>
      <c r="E519" s="11"/>
      <c r="F519" s="11"/>
      <c r="G519" s="11"/>
    </row>
    <row r="520">
      <c r="B520" s="11"/>
      <c r="C520" s="11"/>
      <c r="D520" s="11"/>
      <c r="E520" s="11"/>
      <c r="F520" s="11"/>
      <c r="G520" s="11"/>
    </row>
    <row r="521">
      <c r="B521" s="11"/>
      <c r="C521" s="11"/>
      <c r="D521" s="11"/>
      <c r="E521" s="11"/>
      <c r="F521" s="11"/>
      <c r="G521" s="11"/>
    </row>
    <row r="522">
      <c r="B522" s="11"/>
      <c r="C522" s="11"/>
      <c r="D522" s="11"/>
      <c r="E522" s="11"/>
      <c r="F522" s="11"/>
      <c r="G522" s="11"/>
    </row>
    <row r="523">
      <c r="B523" s="11"/>
      <c r="C523" s="11"/>
      <c r="D523" s="11"/>
      <c r="E523" s="11"/>
      <c r="F523" s="11"/>
      <c r="G523" s="11"/>
    </row>
    <row r="524">
      <c r="B524" s="11"/>
      <c r="C524" s="11"/>
      <c r="D524" s="11"/>
      <c r="E524" s="11"/>
      <c r="F524" s="11"/>
      <c r="G524" s="11"/>
    </row>
    <row r="525">
      <c r="B525" s="11"/>
      <c r="C525" s="11"/>
      <c r="D525" s="11"/>
      <c r="E525" s="11"/>
      <c r="F525" s="11"/>
      <c r="G525" s="11"/>
    </row>
    <row r="526">
      <c r="B526" s="11"/>
      <c r="C526" s="11"/>
      <c r="D526" s="11"/>
      <c r="E526" s="11"/>
      <c r="F526" s="11"/>
      <c r="G526" s="11"/>
    </row>
    <row r="527">
      <c r="B527" s="11"/>
      <c r="C527" s="11"/>
      <c r="D527" s="11"/>
      <c r="E527" s="11"/>
      <c r="F527" s="11"/>
      <c r="G527" s="11"/>
    </row>
    <row r="528">
      <c r="B528" s="11"/>
      <c r="C528" s="11"/>
      <c r="D528" s="11"/>
      <c r="E528" s="11"/>
      <c r="F528" s="11"/>
      <c r="G528" s="11"/>
    </row>
    <row r="529">
      <c r="B529" s="11"/>
      <c r="C529" s="11"/>
      <c r="D529" s="11"/>
      <c r="E529" s="11"/>
      <c r="F529" s="11"/>
      <c r="G529" s="11"/>
    </row>
    <row r="530">
      <c r="B530" s="11"/>
      <c r="C530" s="11"/>
      <c r="D530" s="11"/>
      <c r="E530" s="11"/>
      <c r="F530" s="11"/>
      <c r="G530" s="11"/>
    </row>
    <row r="531">
      <c r="B531" s="11"/>
      <c r="C531" s="11"/>
      <c r="D531" s="11"/>
      <c r="E531" s="11"/>
      <c r="F531" s="11"/>
      <c r="G531" s="11"/>
    </row>
    <row r="532">
      <c r="B532" s="11"/>
      <c r="C532" s="11"/>
      <c r="D532" s="11"/>
      <c r="E532" s="11"/>
      <c r="F532" s="11"/>
      <c r="G532" s="11"/>
    </row>
    <row r="533">
      <c r="B533" s="11"/>
      <c r="C533" s="11"/>
      <c r="D533" s="11"/>
      <c r="E533" s="11"/>
      <c r="F533" s="11"/>
      <c r="G533" s="11"/>
    </row>
    <row r="534">
      <c r="B534" s="11"/>
      <c r="C534" s="11"/>
      <c r="D534" s="11"/>
      <c r="E534" s="11"/>
      <c r="F534" s="11"/>
      <c r="G534" s="11"/>
    </row>
    <row r="535">
      <c r="B535" s="11"/>
      <c r="C535" s="11"/>
      <c r="D535" s="11"/>
      <c r="E535" s="11"/>
      <c r="F535" s="11"/>
      <c r="G535" s="11"/>
    </row>
    <row r="536">
      <c r="B536" s="11"/>
      <c r="C536" s="11"/>
      <c r="D536" s="11"/>
      <c r="E536" s="11"/>
      <c r="F536" s="11"/>
      <c r="G536" s="11"/>
    </row>
    <row r="537">
      <c r="B537" s="11"/>
      <c r="C537" s="11"/>
      <c r="D537" s="11"/>
      <c r="E537" s="11"/>
      <c r="F537" s="11"/>
      <c r="G537" s="11"/>
    </row>
    <row r="538">
      <c r="B538" s="11"/>
      <c r="C538" s="11"/>
      <c r="D538" s="11"/>
      <c r="E538" s="11"/>
      <c r="F538" s="11"/>
      <c r="G538" s="11"/>
    </row>
    <row r="539">
      <c r="B539" s="11"/>
      <c r="C539" s="11"/>
      <c r="D539" s="11"/>
      <c r="E539" s="11"/>
      <c r="F539" s="11"/>
      <c r="G539" s="11"/>
    </row>
    <row r="540">
      <c r="B540" s="11"/>
      <c r="C540" s="11"/>
      <c r="D540" s="11"/>
      <c r="E540" s="11"/>
      <c r="F540" s="11"/>
      <c r="G540" s="11"/>
    </row>
    <row r="541">
      <c r="B541" s="11"/>
      <c r="C541" s="11"/>
      <c r="D541" s="11"/>
      <c r="E541" s="11"/>
      <c r="F541" s="11"/>
      <c r="G541" s="11"/>
    </row>
    <row r="542">
      <c r="B542" s="11"/>
      <c r="C542" s="11"/>
      <c r="D542" s="11"/>
      <c r="E542" s="11"/>
      <c r="F542" s="11"/>
      <c r="G542" s="11"/>
    </row>
    <row r="543">
      <c r="B543" s="11"/>
      <c r="C543" s="11"/>
      <c r="D543" s="11"/>
      <c r="E543" s="11"/>
      <c r="F543" s="11"/>
      <c r="G543" s="11"/>
    </row>
    <row r="544">
      <c r="B544" s="11"/>
      <c r="C544" s="11"/>
      <c r="D544" s="11"/>
      <c r="E544" s="11"/>
      <c r="F544" s="11"/>
      <c r="G544" s="11"/>
    </row>
    <row r="545">
      <c r="B545" s="11"/>
      <c r="C545" s="11"/>
      <c r="D545" s="11"/>
      <c r="E545" s="11"/>
      <c r="F545" s="11"/>
      <c r="G545" s="11"/>
    </row>
    <row r="546">
      <c r="B546" s="11"/>
      <c r="C546" s="11"/>
      <c r="D546" s="11"/>
      <c r="E546" s="11"/>
      <c r="F546" s="11"/>
      <c r="G546" s="11"/>
    </row>
    <row r="547">
      <c r="B547" s="11"/>
      <c r="C547" s="11"/>
      <c r="D547" s="11"/>
      <c r="E547" s="11"/>
      <c r="F547" s="11"/>
      <c r="G547" s="11"/>
    </row>
    <row r="548">
      <c r="B548" s="11"/>
      <c r="C548" s="11"/>
      <c r="D548" s="11"/>
      <c r="E548" s="11"/>
      <c r="F548" s="11"/>
      <c r="G548" s="11"/>
    </row>
    <row r="549">
      <c r="B549" s="11"/>
      <c r="C549" s="11"/>
      <c r="D549" s="11"/>
      <c r="E549" s="11"/>
      <c r="F549" s="11"/>
      <c r="G549" s="11"/>
    </row>
    <row r="550">
      <c r="B550" s="11"/>
      <c r="C550" s="11"/>
      <c r="D550" s="11"/>
      <c r="E550" s="11"/>
      <c r="F550" s="11"/>
      <c r="G550" s="11"/>
    </row>
    <row r="551">
      <c r="B551" s="11"/>
      <c r="C551" s="11"/>
      <c r="D551" s="11"/>
      <c r="E551" s="11"/>
      <c r="F551" s="11"/>
      <c r="G551" s="11"/>
    </row>
    <row r="552">
      <c r="B552" s="11"/>
      <c r="C552" s="11"/>
      <c r="D552" s="11"/>
      <c r="E552" s="11"/>
      <c r="F552" s="11"/>
      <c r="G552" s="11"/>
    </row>
    <row r="553">
      <c r="B553" s="11"/>
      <c r="C553" s="11"/>
      <c r="D553" s="11"/>
      <c r="E553" s="11"/>
      <c r="F553" s="11"/>
      <c r="G553" s="11"/>
    </row>
    <row r="554">
      <c r="B554" s="11"/>
      <c r="C554" s="11"/>
      <c r="D554" s="11"/>
      <c r="E554" s="11"/>
      <c r="F554" s="11"/>
      <c r="G554" s="11"/>
    </row>
    <row r="555">
      <c r="B555" s="11"/>
      <c r="C555" s="11"/>
      <c r="D555" s="11"/>
      <c r="E555" s="11"/>
      <c r="F555" s="11"/>
      <c r="G555" s="11"/>
    </row>
    <row r="556">
      <c r="B556" s="11"/>
      <c r="C556" s="11"/>
      <c r="D556" s="11"/>
      <c r="E556" s="11"/>
      <c r="F556" s="11"/>
      <c r="G556" s="11"/>
    </row>
    <row r="557">
      <c r="B557" s="11"/>
      <c r="C557" s="11"/>
      <c r="D557" s="11"/>
      <c r="E557" s="11"/>
      <c r="F557" s="11"/>
      <c r="G557" s="11"/>
    </row>
    <row r="558">
      <c r="B558" s="11"/>
      <c r="C558" s="11"/>
      <c r="D558" s="11"/>
      <c r="E558" s="11"/>
      <c r="F558" s="11"/>
      <c r="G558" s="11"/>
    </row>
    <row r="559">
      <c r="B559" s="11"/>
      <c r="C559" s="11"/>
      <c r="D559" s="11"/>
      <c r="E559" s="11"/>
      <c r="F559" s="11"/>
      <c r="G559" s="11"/>
    </row>
    <row r="560">
      <c r="B560" s="11"/>
      <c r="C560" s="11"/>
      <c r="D560" s="11"/>
      <c r="E560" s="11"/>
      <c r="F560" s="11"/>
      <c r="G560" s="11"/>
    </row>
    <row r="561">
      <c r="B561" s="11"/>
      <c r="C561" s="11"/>
      <c r="D561" s="11"/>
      <c r="E561" s="11"/>
      <c r="F561" s="11"/>
      <c r="G561" s="11"/>
    </row>
    <row r="562">
      <c r="B562" s="11"/>
      <c r="C562" s="11"/>
      <c r="D562" s="11"/>
      <c r="E562" s="11"/>
      <c r="F562" s="11"/>
      <c r="G562" s="11"/>
    </row>
    <row r="563">
      <c r="B563" s="11"/>
      <c r="C563" s="11"/>
      <c r="D563" s="11"/>
      <c r="E563" s="11"/>
      <c r="F563" s="11"/>
      <c r="G563" s="11"/>
    </row>
    <row r="564">
      <c r="B564" s="11"/>
      <c r="C564" s="11"/>
      <c r="D564" s="11"/>
      <c r="E564" s="11"/>
      <c r="F564" s="11"/>
      <c r="G564" s="11"/>
    </row>
    <row r="565">
      <c r="B565" s="11"/>
      <c r="C565" s="11"/>
      <c r="D565" s="11"/>
      <c r="E565" s="11"/>
      <c r="F565" s="11"/>
      <c r="G565" s="11"/>
    </row>
    <row r="566">
      <c r="B566" s="11"/>
      <c r="C566" s="11"/>
      <c r="D566" s="11"/>
      <c r="E566" s="11"/>
      <c r="F566" s="11"/>
      <c r="G566" s="11"/>
    </row>
    <row r="567">
      <c r="B567" s="11"/>
      <c r="C567" s="11"/>
      <c r="D567" s="11"/>
      <c r="E567" s="11"/>
      <c r="F567" s="11"/>
      <c r="G567" s="11"/>
    </row>
    <row r="568">
      <c r="B568" s="11"/>
      <c r="C568" s="11"/>
      <c r="D568" s="11"/>
      <c r="E568" s="11"/>
      <c r="F568" s="11"/>
      <c r="G568" s="11"/>
    </row>
    <row r="569">
      <c r="B569" s="11"/>
      <c r="C569" s="11"/>
      <c r="D569" s="11"/>
      <c r="E569" s="11"/>
      <c r="F569" s="11"/>
      <c r="G569" s="11"/>
    </row>
    <row r="570">
      <c r="B570" s="11"/>
      <c r="C570" s="11"/>
      <c r="D570" s="11"/>
      <c r="E570" s="11"/>
      <c r="F570" s="11"/>
      <c r="G570" s="11"/>
    </row>
    <row r="571">
      <c r="B571" s="11"/>
      <c r="C571" s="11"/>
      <c r="D571" s="11"/>
      <c r="E571" s="11"/>
      <c r="F571" s="11"/>
      <c r="G571" s="11"/>
    </row>
    <row r="572">
      <c r="B572" s="11"/>
      <c r="C572" s="11"/>
      <c r="D572" s="11"/>
      <c r="E572" s="11"/>
      <c r="F572" s="11"/>
      <c r="G572" s="11"/>
    </row>
    <row r="573">
      <c r="B573" s="11"/>
      <c r="C573" s="11"/>
      <c r="D573" s="11"/>
      <c r="E573" s="11"/>
      <c r="F573" s="11"/>
      <c r="G573" s="11"/>
    </row>
    <row r="574">
      <c r="B574" s="11"/>
      <c r="C574" s="11"/>
      <c r="D574" s="11"/>
      <c r="E574" s="11"/>
      <c r="F574" s="11"/>
      <c r="G574" s="11"/>
    </row>
    <row r="575">
      <c r="B575" s="11"/>
      <c r="C575" s="11"/>
      <c r="D575" s="11"/>
      <c r="E575" s="11"/>
      <c r="F575" s="11"/>
      <c r="G575" s="11"/>
    </row>
    <row r="576">
      <c r="B576" s="11"/>
      <c r="C576" s="11"/>
      <c r="D576" s="11"/>
      <c r="E576" s="11"/>
      <c r="F576" s="11"/>
      <c r="G576" s="11"/>
    </row>
    <row r="577">
      <c r="B577" s="11"/>
      <c r="C577" s="11"/>
      <c r="D577" s="11"/>
      <c r="E577" s="11"/>
      <c r="F577" s="11"/>
      <c r="G577" s="11"/>
    </row>
    <row r="578">
      <c r="B578" s="11"/>
      <c r="C578" s="11"/>
      <c r="D578" s="11"/>
      <c r="E578" s="11"/>
      <c r="F578" s="11"/>
      <c r="G578" s="11"/>
    </row>
    <row r="579">
      <c r="B579" s="11"/>
      <c r="C579" s="11"/>
      <c r="D579" s="11"/>
      <c r="E579" s="11"/>
      <c r="F579" s="11"/>
      <c r="G579" s="11"/>
    </row>
    <row r="580">
      <c r="B580" s="11"/>
      <c r="C580" s="11"/>
      <c r="D580" s="11"/>
      <c r="E580" s="11"/>
      <c r="F580" s="11"/>
      <c r="G580" s="11"/>
    </row>
    <row r="581">
      <c r="B581" s="11"/>
      <c r="C581" s="11"/>
      <c r="D581" s="11"/>
      <c r="E581" s="11"/>
      <c r="F581" s="11"/>
      <c r="G581" s="11"/>
    </row>
    <row r="582">
      <c r="B582" s="11"/>
      <c r="C582" s="11"/>
      <c r="D582" s="11"/>
      <c r="E582" s="11"/>
      <c r="F582" s="11"/>
      <c r="G582" s="11"/>
    </row>
    <row r="583">
      <c r="B583" s="11"/>
      <c r="C583" s="11"/>
      <c r="D583" s="11"/>
      <c r="E583" s="11"/>
      <c r="F583" s="11"/>
      <c r="G583" s="11"/>
    </row>
    <row r="584">
      <c r="B584" s="11"/>
      <c r="C584" s="11"/>
      <c r="D584" s="11"/>
      <c r="E584" s="11"/>
      <c r="F584" s="11"/>
      <c r="G584" s="11"/>
    </row>
    <row r="585">
      <c r="B585" s="11"/>
      <c r="C585" s="11"/>
      <c r="D585" s="11"/>
      <c r="E585" s="11"/>
      <c r="F585" s="11"/>
      <c r="G585" s="11"/>
    </row>
    <row r="586">
      <c r="B586" s="11"/>
      <c r="C586" s="11"/>
      <c r="D586" s="11"/>
      <c r="E586" s="11"/>
      <c r="F586" s="11"/>
      <c r="G586" s="11"/>
    </row>
    <row r="587">
      <c r="B587" s="11"/>
      <c r="C587" s="11"/>
      <c r="D587" s="11"/>
      <c r="E587" s="11"/>
      <c r="F587" s="11"/>
      <c r="G587" s="11"/>
    </row>
    <row r="588">
      <c r="B588" s="11"/>
      <c r="C588" s="11"/>
      <c r="D588" s="11"/>
      <c r="E588" s="11"/>
      <c r="F588" s="11"/>
      <c r="G588" s="11"/>
    </row>
    <row r="589">
      <c r="B589" s="11"/>
      <c r="C589" s="11"/>
      <c r="D589" s="11"/>
      <c r="E589" s="11"/>
      <c r="F589" s="11"/>
      <c r="G589" s="11"/>
    </row>
    <row r="590">
      <c r="B590" s="11"/>
      <c r="C590" s="11"/>
      <c r="D590" s="11"/>
      <c r="E590" s="11"/>
      <c r="F590" s="11"/>
      <c r="G590" s="11"/>
    </row>
    <row r="591">
      <c r="B591" s="11"/>
      <c r="C591" s="11"/>
      <c r="D591" s="11"/>
      <c r="E591" s="11"/>
      <c r="F591" s="11"/>
      <c r="G591" s="11"/>
    </row>
    <row r="592">
      <c r="B592" s="11"/>
      <c r="C592" s="11"/>
      <c r="D592" s="11"/>
      <c r="E592" s="11"/>
      <c r="F592" s="11"/>
      <c r="G592" s="11"/>
    </row>
    <row r="593">
      <c r="B593" s="11"/>
      <c r="C593" s="11"/>
      <c r="D593" s="11"/>
      <c r="E593" s="11"/>
      <c r="F593" s="11"/>
      <c r="G593" s="11"/>
    </row>
    <row r="594">
      <c r="B594" s="11"/>
      <c r="C594" s="11"/>
      <c r="D594" s="11"/>
      <c r="E594" s="11"/>
      <c r="F594" s="11"/>
      <c r="G594" s="11"/>
    </row>
    <row r="595">
      <c r="B595" s="11"/>
      <c r="C595" s="11"/>
      <c r="D595" s="11"/>
      <c r="E595" s="11"/>
      <c r="F595" s="11"/>
      <c r="G595" s="11"/>
    </row>
    <row r="596">
      <c r="B596" s="11"/>
      <c r="C596" s="11"/>
      <c r="D596" s="11"/>
      <c r="E596" s="11"/>
      <c r="F596" s="11"/>
      <c r="G596" s="11"/>
    </row>
    <row r="597">
      <c r="B597" s="11"/>
      <c r="C597" s="11"/>
      <c r="D597" s="11"/>
      <c r="E597" s="11"/>
      <c r="F597" s="11"/>
      <c r="G597" s="11"/>
    </row>
    <row r="598">
      <c r="B598" s="11"/>
      <c r="C598" s="11"/>
      <c r="D598" s="11"/>
      <c r="E598" s="11"/>
      <c r="F598" s="11"/>
      <c r="G598" s="11"/>
    </row>
    <row r="599">
      <c r="B599" s="11"/>
      <c r="C599" s="11"/>
      <c r="D599" s="11"/>
      <c r="E599" s="11"/>
      <c r="F599" s="11"/>
      <c r="G599" s="11"/>
    </row>
    <row r="600">
      <c r="B600" s="11"/>
      <c r="C600" s="11"/>
      <c r="D600" s="11"/>
      <c r="E600" s="11"/>
      <c r="F600" s="11"/>
      <c r="G600" s="11"/>
    </row>
    <row r="601">
      <c r="B601" s="11"/>
      <c r="C601" s="11"/>
      <c r="D601" s="11"/>
      <c r="E601" s="11"/>
      <c r="F601" s="11"/>
      <c r="G601" s="11"/>
    </row>
    <row r="602">
      <c r="B602" s="11"/>
      <c r="C602" s="11"/>
      <c r="D602" s="11"/>
      <c r="E602" s="11"/>
      <c r="F602" s="11"/>
      <c r="G602" s="11"/>
    </row>
    <row r="603">
      <c r="B603" s="11"/>
      <c r="C603" s="11"/>
      <c r="D603" s="11"/>
      <c r="E603" s="11"/>
      <c r="F603" s="11"/>
      <c r="G603" s="11"/>
    </row>
    <row r="604">
      <c r="B604" s="11"/>
      <c r="C604" s="11"/>
      <c r="D604" s="11"/>
      <c r="E604" s="11"/>
      <c r="F604" s="11"/>
      <c r="G604" s="11"/>
    </row>
    <row r="605">
      <c r="B605" s="11"/>
      <c r="C605" s="11"/>
      <c r="D605" s="11"/>
      <c r="E605" s="11"/>
      <c r="F605" s="11"/>
      <c r="G605" s="11"/>
    </row>
    <row r="606">
      <c r="B606" s="11"/>
      <c r="C606" s="11"/>
      <c r="D606" s="11"/>
      <c r="E606" s="11"/>
      <c r="F606" s="11"/>
      <c r="G606" s="11"/>
    </row>
    <row r="607">
      <c r="B607" s="11"/>
      <c r="C607" s="11"/>
      <c r="D607" s="11"/>
      <c r="E607" s="11"/>
      <c r="F607" s="11"/>
      <c r="G607" s="11"/>
    </row>
    <row r="608">
      <c r="B608" s="11"/>
      <c r="C608" s="11"/>
      <c r="D608" s="11"/>
      <c r="E608" s="11"/>
      <c r="F608" s="11"/>
      <c r="G608" s="11"/>
    </row>
    <row r="609">
      <c r="B609" s="11"/>
      <c r="C609" s="11"/>
      <c r="D609" s="11"/>
      <c r="E609" s="11"/>
      <c r="F609" s="11"/>
      <c r="G609" s="11"/>
    </row>
    <row r="610">
      <c r="B610" s="11"/>
      <c r="C610" s="11"/>
      <c r="D610" s="11"/>
      <c r="E610" s="11"/>
      <c r="F610" s="11"/>
      <c r="G610" s="11"/>
    </row>
    <row r="611">
      <c r="B611" s="11"/>
      <c r="C611" s="11"/>
      <c r="D611" s="11"/>
      <c r="E611" s="11"/>
      <c r="F611" s="11"/>
      <c r="G611" s="11"/>
    </row>
    <row r="612">
      <c r="B612" s="11"/>
      <c r="C612" s="11"/>
      <c r="D612" s="11"/>
      <c r="E612" s="11"/>
      <c r="F612" s="11"/>
      <c r="G612" s="11"/>
    </row>
    <row r="613">
      <c r="B613" s="11"/>
      <c r="C613" s="11"/>
      <c r="D613" s="11"/>
      <c r="E613" s="11"/>
      <c r="F613" s="11"/>
      <c r="G613" s="11"/>
    </row>
    <row r="614">
      <c r="B614" s="11"/>
      <c r="C614" s="11"/>
      <c r="D614" s="11"/>
      <c r="E614" s="11"/>
      <c r="F614" s="11"/>
      <c r="G614" s="11"/>
    </row>
    <row r="615">
      <c r="B615" s="11"/>
      <c r="C615" s="11"/>
      <c r="D615" s="11"/>
      <c r="E615" s="11"/>
      <c r="F615" s="11"/>
      <c r="G615" s="11"/>
    </row>
    <row r="616">
      <c r="B616" s="11"/>
      <c r="C616" s="11"/>
      <c r="D616" s="11"/>
      <c r="E616" s="11"/>
      <c r="F616" s="11"/>
      <c r="G616" s="11"/>
    </row>
    <row r="617">
      <c r="B617" s="11"/>
      <c r="C617" s="11"/>
      <c r="D617" s="11"/>
      <c r="E617" s="11"/>
      <c r="F617" s="11"/>
      <c r="G617" s="11"/>
    </row>
    <row r="618">
      <c r="B618" s="11"/>
      <c r="C618" s="11"/>
      <c r="D618" s="11"/>
      <c r="E618" s="11"/>
      <c r="F618" s="11"/>
      <c r="G618" s="11"/>
    </row>
    <row r="619">
      <c r="B619" s="11"/>
      <c r="C619" s="11"/>
      <c r="D619" s="11"/>
      <c r="E619" s="11"/>
      <c r="F619" s="11"/>
      <c r="G619" s="11"/>
    </row>
    <row r="620">
      <c r="B620" s="11"/>
      <c r="C620" s="11"/>
      <c r="D620" s="11"/>
      <c r="E620" s="11"/>
      <c r="F620" s="11"/>
      <c r="G620" s="11"/>
    </row>
    <row r="621">
      <c r="B621" s="11"/>
      <c r="C621" s="11"/>
      <c r="D621" s="11"/>
      <c r="E621" s="11"/>
      <c r="F621" s="11"/>
      <c r="G621" s="11"/>
    </row>
    <row r="622">
      <c r="B622" s="11"/>
      <c r="C622" s="11"/>
      <c r="D622" s="11"/>
      <c r="E622" s="11"/>
      <c r="F622" s="11"/>
      <c r="G622" s="11"/>
    </row>
    <row r="623">
      <c r="B623" s="11"/>
      <c r="C623" s="11"/>
      <c r="D623" s="11"/>
      <c r="E623" s="11"/>
      <c r="F623" s="11"/>
      <c r="G623" s="11"/>
    </row>
    <row r="624">
      <c r="B624" s="11"/>
      <c r="C624" s="11"/>
      <c r="D624" s="11"/>
      <c r="E624" s="11"/>
      <c r="F624" s="11"/>
      <c r="G624" s="11"/>
    </row>
    <row r="625">
      <c r="B625" s="11"/>
      <c r="C625" s="11"/>
      <c r="D625" s="11"/>
      <c r="E625" s="11"/>
      <c r="F625" s="11"/>
      <c r="G625" s="11"/>
    </row>
    <row r="626">
      <c r="B626" s="11"/>
      <c r="C626" s="11"/>
      <c r="D626" s="11"/>
      <c r="E626" s="11"/>
      <c r="F626" s="11"/>
      <c r="G626" s="11"/>
    </row>
    <row r="627">
      <c r="B627" s="11"/>
      <c r="C627" s="11"/>
      <c r="D627" s="11"/>
      <c r="E627" s="11"/>
      <c r="F627" s="11"/>
      <c r="G627" s="11"/>
    </row>
    <row r="628">
      <c r="B628" s="11"/>
      <c r="C628" s="11"/>
      <c r="D628" s="11"/>
      <c r="E628" s="11"/>
      <c r="F628" s="11"/>
      <c r="G628" s="11"/>
    </row>
    <row r="629">
      <c r="B629" s="11"/>
      <c r="C629" s="11"/>
      <c r="D629" s="11"/>
      <c r="E629" s="11"/>
      <c r="F629" s="11"/>
      <c r="G629" s="11"/>
    </row>
    <row r="630">
      <c r="B630" s="11"/>
      <c r="C630" s="11"/>
      <c r="D630" s="11"/>
      <c r="E630" s="11"/>
      <c r="F630" s="11"/>
      <c r="G630" s="11"/>
    </row>
    <row r="631">
      <c r="B631" s="11"/>
      <c r="C631" s="11"/>
      <c r="D631" s="11"/>
      <c r="E631" s="11"/>
      <c r="F631" s="11"/>
      <c r="G631" s="11"/>
    </row>
    <row r="632">
      <c r="B632" s="11"/>
      <c r="C632" s="11"/>
      <c r="D632" s="11"/>
      <c r="E632" s="11"/>
      <c r="F632" s="11"/>
      <c r="G632" s="11"/>
    </row>
    <row r="633">
      <c r="B633" s="11"/>
      <c r="C633" s="11"/>
      <c r="D633" s="11"/>
      <c r="E633" s="11"/>
      <c r="F633" s="11"/>
      <c r="G633" s="11"/>
    </row>
    <row r="634">
      <c r="B634" s="11"/>
      <c r="C634" s="11"/>
      <c r="D634" s="11"/>
      <c r="E634" s="11"/>
      <c r="F634" s="11"/>
      <c r="G634" s="11"/>
    </row>
    <row r="635">
      <c r="B635" s="11"/>
      <c r="C635" s="11"/>
      <c r="D635" s="11"/>
      <c r="E635" s="11"/>
      <c r="F635" s="11"/>
      <c r="G635" s="11"/>
    </row>
    <row r="636">
      <c r="B636" s="11"/>
      <c r="C636" s="11"/>
      <c r="D636" s="11"/>
      <c r="E636" s="11"/>
      <c r="F636" s="11"/>
      <c r="G636" s="11"/>
    </row>
    <row r="637">
      <c r="B637" s="11"/>
      <c r="C637" s="11"/>
      <c r="D637" s="11"/>
      <c r="E637" s="11"/>
      <c r="F637" s="11"/>
      <c r="G637" s="11"/>
    </row>
    <row r="638">
      <c r="B638" s="11"/>
      <c r="C638" s="11"/>
      <c r="D638" s="11"/>
      <c r="E638" s="11"/>
      <c r="F638" s="11"/>
      <c r="G638" s="11"/>
    </row>
    <row r="639">
      <c r="B639" s="11"/>
      <c r="C639" s="11"/>
      <c r="D639" s="11"/>
      <c r="E639" s="11"/>
      <c r="F639" s="11"/>
      <c r="G639" s="11"/>
    </row>
    <row r="640">
      <c r="B640" s="11"/>
      <c r="C640" s="11"/>
      <c r="D640" s="11"/>
      <c r="E640" s="11"/>
      <c r="F640" s="11"/>
      <c r="G640" s="11"/>
    </row>
    <row r="641">
      <c r="B641" s="11"/>
      <c r="C641" s="11"/>
      <c r="D641" s="11"/>
      <c r="E641" s="11"/>
      <c r="F641" s="11"/>
      <c r="G641" s="11"/>
    </row>
    <row r="642">
      <c r="B642" s="11"/>
      <c r="C642" s="11"/>
      <c r="D642" s="11"/>
      <c r="E642" s="11"/>
      <c r="F642" s="11"/>
      <c r="G642" s="11"/>
    </row>
    <row r="643">
      <c r="B643" s="11"/>
      <c r="C643" s="11"/>
      <c r="D643" s="11"/>
      <c r="E643" s="11"/>
      <c r="F643" s="11"/>
      <c r="G643" s="11"/>
    </row>
    <row r="644">
      <c r="B644" s="11"/>
      <c r="C644" s="11"/>
      <c r="D644" s="11"/>
      <c r="E644" s="11"/>
      <c r="F644" s="11"/>
      <c r="G644" s="11"/>
    </row>
    <row r="645">
      <c r="B645" s="11"/>
      <c r="C645" s="11"/>
      <c r="D645" s="11"/>
      <c r="E645" s="11"/>
      <c r="F645" s="11"/>
      <c r="G645" s="11"/>
    </row>
    <row r="646">
      <c r="B646" s="11"/>
      <c r="C646" s="11"/>
      <c r="D646" s="11"/>
      <c r="E646" s="11"/>
      <c r="F646" s="11"/>
      <c r="G646" s="11"/>
    </row>
    <row r="647">
      <c r="B647" s="11"/>
      <c r="C647" s="11"/>
      <c r="D647" s="11"/>
      <c r="E647" s="11"/>
      <c r="F647" s="11"/>
      <c r="G647" s="11"/>
    </row>
    <row r="648">
      <c r="B648" s="11"/>
      <c r="C648" s="11"/>
      <c r="D648" s="11"/>
      <c r="E648" s="11"/>
      <c r="F648" s="11"/>
      <c r="G648" s="11"/>
    </row>
    <row r="649">
      <c r="B649" s="11"/>
      <c r="C649" s="11"/>
      <c r="D649" s="11"/>
      <c r="E649" s="11"/>
      <c r="F649" s="11"/>
      <c r="G649" s="11"/>
    </row>
    <row r="650">
      <c r="B650" s="11"/>
      <c r="C650" s="11"/>
      <c r="D650" s="11"/>
      <c r="E650" s="11"/>
      <c r="F650" s="11"/>
      <c r="G650" s="11"/>
    </row>
    <row r="651">
      <c r="B651" s="11"/>
      <c r="C651" s="11"/>
      <c r="D651" s="11"/>
      <c r="E651" s="11"/>
      <c r="F651" s="11"/>
      <c r="G651" s="11"/>
    </row>
    <row r="652">
      <c r="B652" s="11"/>
      <c r="C652" s="11"/>
      <c r="D652" s="11"/>
      <c r="E652" s="11"/>
      <c r="F652" s="11"/>
      <c r="G652" s="11"/>
    </row>
    <row r="653">
      <c r="B653" s="11"/>
      <c r="C653" s="11"/>
      <c r="D653" s="11"/>
      <c r="E653" s="11"/>
      <c r="F653" s="11"/>
      <c r="G653" s="11"/>
    </row>
    <row r="654">
      <c r="B654" s="11"/>
      <c r="C654" s="11"/>
      <c r="D654" s="11"/>
      <c r="E654" s="11"/>
      <c r="F654" s="11"/>
      <c r="G654" s="11"/>
    </row>
    <row r="655">
      <c r="B655" s="11"/>
      <c r="C655" s="11"/>
      <c r="D655" s="11"/>
      <c r="E655" s="11"/>
      <c r="F655" s="11"/>
      <c r="G655" s="11"/>
    </row>
    <row r="656">
      <c r="B656" s="11"/>
      <c r="C656" s="11"/>
      <c r="D656" s="11"/>
      <c r="E656" s="11"/>
      <c r="F656" s="11"/>
      <c r="G656" s="11"/>
    </row>
    <row r="657">
      <c r="B657" s="11"/>
      <c r="C657" s="11"/>
      <c r="D657" s="11"/>
      <c r="E657" s="11"/>
      <c r="F657" s="11"/>
      <c r="G657" s="11"/>
    </row>
    <row r="658">
      <c r="B658" s="11"/>
      <c r="C658" s="11"/>
      <c r="D658" s="11"/>
      <c r="E658" s="11"/>
      <c r="F658" s="11"/>
      <c r="G658" s="11"/>
    </row>
    <row r="659">
      <c r="B659" s="11"/>
      <c r="C659" s="11"/>
      <c r="D659" s="11"/>
      <c r="E659" s="11"/>
      <c r="F659" s="11"/>
      <c r="G659" s="11"/>
    </row>
    <row r="660">
      <c r="B660" s="11"/>
      <c r="C660" s="11"/>
      <c r="D660" s="11"/>
      <c r="E660" s="11"/>
      <c r="F660" s="11"/>
      <c r="G660" s="11"/>
    </row>
    <row r="661">
      <c r="B661" s="11"/>
      <c r="C661" s="11"/>
      <c r="D661" s="11"/>
      <c r="E661" s="11"/>
      <c r="F661" s="11"/>
      <c r="G661" s="11"/>
    </row>
    <row r="662">
      <c r="B662" s="11"/>
      <c r="C662" s="11"/>
      <c r="D662" s="11"/>
      <c r="E662" s="11"/>
      <c r="F662" s="11"/>
      <c r="G662" s="11"/>
    </row>
    <row r="663">
      <c r="B663" s="11"/>
      <c r="C663" s="11"/>
      <c r="D663" s="11"/>
      <c r="E663" s="11"/>
      <c r="F663" s="11"/>
      <c r="G663" s="11"/>
    </row>
    <row r="664">
      <c r="B664" s="11"/>
      <c r="C664" s="11"/>
      <c r="D664" s="11"/>
      <c r="E664" s="11"/>
      <c r="F664" s="11"/>
      <c r="G664" s="11"/>
    </row>
    <row r="665">
      <c r="B665" s="11"/>
      <c r="C665" s="11"/>
      <c r="D665" s="11"/>
      <c r="E665" s="11"/>
      <c r="F665" s="11"/>
      <c r="G665" s="11"/>
    </row>
    <row r="666">
      <c r="B666" s="11"/>
      <c r="C666" s="11"/>
      <c r="D666" s="11"/>
      <c r="E666" s="11"/>
      <c r="F666" s="11"/>
      <c r="G666" s="11"/>
    </row>
    <row r="667">
      <c r="B667" s="11"/>
      <c r="C667" s="11"/>
      <c r="D667" s="11"/>
      <c r="E667" s="11"/>
      <c r="F667" s="11"/>
      <c r="G667" s="11"/>
    </row>
    <row r="668">
      <c r="B668" s="11"/>
      <c r="C668" s="11"/>
      <c r="D668" s="11"/>
      <c r="E668" s="11"/>
      <c r="F668" s="11"/>
      <c r="G668" s="11"/>
    </row>
    <row r="669">
      <c r="B669" s="11"/>
      <c r="C669" s="11"/>
      <c r="D669" s="11"/>
      <c r="E669" s="11"/>
      <c r="F669" s="11"/>
      <c r="G669" s="11"/>
    </row>
    <row r="670">
      <c r="B670" s="11"/>
      <c r="C670" s="11"/>
      <c r="D670" s="11"/>
      <c r="E670" s="11"/>
      <c r="F670" s="11"/>
      <c r="G670" s="11"/>
    </row>
    <row r="671">
      <c r="B671" s="11"/>
      <c r="C671" s="11"/>
      <c r="D671" s="11"/>
      <c r="E671" s="11"/>
      <c r="F671" s="11"/>
      <c r="G671" s="11"/>
    </row>
    <row r="672">
      <c r="B672" s="11"/>
      <c r="C672" s="11"/>
      <c r="D672" s="11"/>
      <c r="E672" s="11"/>
      <c r="F672" s="11"/>
      <c r="G672" s="11"/>
    </row>
    <row r="673">
      <c r="B673" s="11"/>
      <c r="C673" s="11"/>
      <c r="D673" s="11"/>
      <c r="E673" s="11"/>
      <c r="F673" s="11"/>
      <c r="G673" s="11"/>
    </row>
    <row r="674">
      <c r="B674" s="11"/>
      <c r="C674" s="11"/>
      <c r="D674" s="11"/>
      <c r="E674" s="11"/>
      <c r="F674" s="11"/>
      <c r="G674" s="11"/>
    </row>
    <row r="675">
      <c r="B675" s="11"/>
      <c r="C675" s="11"/>
      <c r="D675" s="11"/>
      <c r="E675" s="11"/>
      <c r="F675" s="11"/>
      <c r="G675" s="11"/>
    </row>
    <row r="676">
      <c r="B676" s="11"/>
      <c r="C676" s="11"/>
      <c r="D676" s="11"/>
      <c r="E676" s="11"/>
      <c r="F676" s="11"/>
      <c r="G676" s="11"/>
    </row>
    <row r="677">
      <c r="B677" s="11"/>
      <c r="C677" s="11"/>
      <c r="D677" s="11"/>
      <c r="E677" s="11"/>
      <c r="F677" s="11"/>
      <c r="G677" s="11"/>
    </row>
    <row r="678">
      <c r="B678" s="11"/>
      <c r="C678" s="11"/>
      <c r="D678" s="11"/>
      <c r="E678" s="11"/>
      <c r="F678" s="11"/>
      <c r="G678" s="11"/>
    </row>
    <row r="679">
      <c r="B679" s="11"/>
      <c r="C679" s="11"/>
      <c r="D679" s="11"/>
      <c r="E679" s="11"/>
      <c r="F679" s="11"/>
      <c r="G679" s="11"/>
    </row>
    <row r="680">
      <c r="B680" s="11"/>
      <c r="C680" s="11"/>
      <c r="D680" s="11"/>
      <c r="E680" s="11"/>
      <c r="F680" s="11"/>
      <c r="G680" s="11"/>
    </row>
    <row r="681">
      <c r="B681" s="11"/>
      <c r="C681" s="11"/>
      <c r="D681" s="11"/>
      <c r="E681" s="11"/>
      <c r="F681" s="11"/>
      <c r="G681" s="11"/>
    </row>
    <row r="682">
      <c r="B682" s="11"/>
      <c r="C682" s="11"/>
      <c r="D682" s="11"/>
      <c r="E682" s="11"/>
      <c r="F682" s="11"/>
      <c r="G682" s="11"/>
    </row>
    <row r="683">
      <c r="B683" s="11"/>
      <c r="C683" s="11"/>
      <c r="D683" s="11"/>
      <c r="E683" s="11"/>
      <c r="F683" s="11"/>
      <c r="G683" s="11"/>
    </row>
    <row r="684">
      <c r="B684" s="11"/>
      <c r="C684" s="11"/>
      <c r="D684" s="11"/>
      <c r="E684" s="11"/>
      <c r="F684" s="11"/>
      <c r="G684" s="11"/>
    </row>
    <row r="685">
      <c r="B685" s="11"/>
      <c r="C685" s="11"/>
      <c r="D685" s="11"/>
      <c r="E685" s="11"/>
      <c r="F685" s="11"/>
      <c r="G685" s="11"/>
    </row>
    <row r="686">
      <c r="B686" s="11"/>
      <c r="C686" s="11"/>
      <c r="D686" s="11"/>
      <c r="E686" s="11"/>
      <c r="F686" s="11"/>
      <c r="G686" s="11"/>
    </row>
    <row r="687">
      <c r="B687" s="11"/>
      <c r="C687" s="11"/>
      <c r="D687" s="11"/>
      <c r="E687" s="11"/>
      <c r="F687" s="11"/>
      <c r="G687" s="11"/>
    </row>
    <row r="688">
      <c r="B688" s="11"/>
      <c r="C688" s="11"/>
      <c r="D688" s="11"/>
      <c r="E688" s="11"/>
      <c r="F688" s="11"/>
      <c r="G688" s="11"/>
    </row>
    <row r="689">
      <c r="B689" s="11"/>
      <c r="C689" s="11"/>
      <c r="D689" s="11"/>
      <c r="E689" s="11"/>
      <c r="F689" s="11"/>
      <c r="G689" s="11"/>
    </row>
    <row r="690">
      <c r="B690" s="11"/>
      <c r="C690" s="11"/>
      <c r="D690" s="11"/>
      <c r="E690" s="11"/>
      <c r="F690" s="11"/>
      <c r="G690" s="11"/>
    </row>
    <row r="691">
      <c r="B691" s="11"/>
      <c r="C691" s="11"/>
      <c r="D691" s="11"/>
      <c r="E691" s="11"/>
      <c r="F691" s="11"/>
      <c r="G691" s="11"/>
    </row>
    <row r="692">
      <c r="B692" s="11"/>
      <c r="C692" s="11"/>
      <c r="D692" s="11"/>
      <c r="E692" s="11"/>
      <c r="F692" s="11"/>
      <c r="G692" s="11"/>
    </row>
    <row r="693">
      <c r="B693" s="11"/>
      <c r="C693" s="11"/>
      <c r="D693" s="11"/>
      <c r="E693" s="11"/>
      <c r="F693" s="11"/>
      <c r="G693" s="11"/>
    </row>
    <row r="694">
      <c r="B694" s="11"/>
      <c r="C694" s="11"/>
      <c r="D694" s="11"/>
      <c r="E694" s="11"/>
      <c r="F694" s="11"/>
      <c r="G694" s="11"/>
    </row>
    <row r="695">
      <c r="B695" s="11"/>
      <c r="C695" s="11"/>
      <c r="D695" s="11"/>
      <c r="E695" s="11"/>
      <c r="F695" s="11"/>
      <c r="G695" s="11"/>
    </row>
    <row r="696">
      <c r="B696" s="11"/>
      <c r="C696" s="11"/>
      <c r="D696" s="11"/>
      <c r="E696" s="11"/>
      <c r="F696" s="11"/>
      <c r="G696" s="11"/>
    </row>
    <row r="697">
      <c r="B697" s="11"/>
      <c r="C697" s="11"/>
      <c r="D697" s="11"/>
      <c r="E697" s="11"/>
      <c r="F697" s="11"/>
      <c r="G697" s="11"/>
    </row>
    <row r="698">
      <c r="B698" s="11"/>
      <c r="C698" s="11"/>
      <c r="D698" s="11"/>
      <c r="E698" s="11"/>
      <c r="F698" s="11"/>
      <c r="G698" s="11"/>
    </row>
    <row r="699">
      <c r="B699" s="11"/>
      <c r="C699" s="11"/>
      <c r="D699" s="11"/>
      <c r="E699" s="11"/>
      <c r="F699" s="11"/>
      <c r="G699" s="11"/>
    </row>
    <row r="700">
      <c r="B700" s="11"/>
      <c r="C700" s="11"/>
      <c r="D700" s="11"/>
      <c r="E700" s="11"/>
      <c r="F700" s="11"/>
      <c r="G700" s="11"/>
    </row>
    <row r="701">
      <c r="B701" s="11"/>
      <c r="C701" s="11"/>
      <c r="D701" s="11"/>
      <c r="E701" s="11"/>
      <c r="F701" s="11"/>
      <c r="G701" s="11"/>
    </row>
    <row r="702">
      <c r="B702" s="11"/>
      <c r="C702" s="11"/>
      <c r="D702" s="11"/>
      <c r="E702" s="11"/>
      <c r="F702" s="11"/>
      <c r="G702" s="11"/>
    </row>
    <row r="703">
      <c r="B703" s="11"/>
      <c r="C703" s="11"/>
      <c r="D703" s="11"/>
      <c r="E703" s="11"/>
      <c r="F703" s="11"/>
      <c r="G703" s="11"/>
    </row>
    <row r="704">
      <c r="B704" s="11"/>
      <c r="C704" s="11"/>
      <c r="D704" s="11"/>
      <c r="E704" s="11"/>
      <c r="F704" s="11"/>
      <c r="G704" s="11"/>
    </row>
    <row r="705">
      <c r="B705" s="11"/>
      <c r="C705" s="11"/>
      <c r="D705" s="11"/>
      <c r="E705" s="11"/>
      <c r="F705" s="11"/>
      <c r="G705" s="11"/>
    </row>
    <row r="706">
      <c r="B706" s="11"/>
      <c r="C706" s="11"/>
      <c r="D706" s="11"/>
      <c r="E706" s="11"/>
      <c r="F706" s="11"/>
      <c r="G706" s="11"/>
    </row>
    <row r="707">
      <c r="B707" s="11"/>
      <c r="C707" s="11"/>
      <c r="D707" s="11"/>
      <c r="E707" s="11"/>
      <c r="F707" s="11"/>
      <c r="G707" s="11"/>
    </row>
    <row r="708">
      <c r="B708" s="11"/>
      <c r="C708" s="11"/>
      <c r="D708" s="11"/>
      <c r="E708" s="11"/>
      <c r="F708" s="11"/>
      <c r="G708" s="11"/>
    </row>
    <row r="709">
      <c r="B709" s="11"/>
      <c r="C709" s="11"/>
      <c r="D709" s="11"/>
      <c r="E709" s="11"/>
      <c r="F709" s="11"/>
      <c r="G709" s="11"/>
    </row>
    <row r="710">
      <c r="B710" s="11"/>
      <c r="C710" s="11"/>
      <c r="D710" s="11"/>
      <c r="E710" s="11"/>
      <c r="F710" s="11"/>
      <c r="G710" s="11"/>
    </row>
    <row r="711">
      <c r="B711" s="11"/>
      <c r="C711" s="11"/>
      <c r="D711" s="11"/>
      <c r="E711" s="11"/>
      <c r="F711" s="11"/>
      <c r="G711" s="11"/>
    </row>
    <row r="712">
      <c r="B712" s="11"/>
      <c r="C712" s="11"/>
      <c r="D712" s="11"/>
      <c r="E712" s="11"/>
      <c r="F712" s="11"/>
      <c r="G712" s="11"/>
    </row>
    <row r="713">
      <c r="B713" s="11"/>
      <c r="C713" s="11"/>
      <c r="D713" s="11"/>
      <c r="E713" s="11"/>
      <c r="F713" s="11"/>
      <c r="G713" s="11"/>
    </row>
    <row r="714">
      <c r="B714" s="11"/>
      <c r="C714" s="11"/>
      <c r="D714" s="11"/>
      <c r="E714" s="11"/>
      <c r="F714" s="11"/>
      <c r="G714" s="11"/>
    </row>
    <row r="715">
      <c r="B715" s="11"/>
      <c r="C715" s="11"/>
      <c r="D715" s="11"/>
      <c r="E715" s="11"/>
      <c r="F715" s="11"/>
      <c r="G715" s="11"/>
    </row>
    <row r="716">
      <c r="B716" s="11"/>
      <c r="C716" s="11"/>
      <c r="D716" s="11"/>
      <c r="E716" s="11"/>
      <c r="F716" s="11"/>
      <c r="G716" s="11"/>
    </row>
    <row r="717">
      <c r="B717" s="11"/>
      <c r="C717" s="11"/>
      <c r="D717" s="11"/>
      <c r="E717" s="11"/>
      <c r="F717" s="11"/>
      <c r="G717" s="11"/>
    </row>
    <row r="718">
      <c r="B718" s="11"/>
      <c r="C718" s="11"/>
      <c r="D718" s="11"/>
      <c r="E718" s="11"/>
      <c r="F718" s="11"/>
      <c r="G718" s="11"/>
    </row>
    <row r="719">
      <c r="B719" s="11"/>
      <c r="C719" s="11"/>
      <c r="D719" s="11"/>
      <c r="E719" s="11"/>
      <c r="F719" s="11"/>
      <c r="G719" s="11"/>
    </row>
    <row r="720">
      <c r="B720" s="11"/>
      <c r="C720" s="11"/>
      <c r="D720" s="11"/>
      <c r="E720" s="11"/>
      <c r="F720" s="11"/>
      <c r="G720" s="11"/>
    </row>
    <row r="721">
      <c r="B721" s="11"/>
      <c r="C721" s="11"/>
      <c r="D721" s="11"/>
      <c r="E721" s="11"/>
      <c r="F721" s="11"/>
      <c r="G721" s="11"/>
    </row>
    <row r="722">
      <c r="B722" s="11"/>
      <c r="C722" s="11"/>
      <c r="D722" s="11"/>
      <c r="E722" s="11"/>
      <c r="F722" s="11"/>
      <c r="G722" s="11"/>
    </row>
    <row r="723">
      <c r="B723" s="11"/>
      <c r="C723" s="11"/>
      <c r="D723" s="11"/>
      <c r="E723" s="11"/>
      <c r="F723" s="11"/>
      <c r="G723" s="11"/>
    </row>
    <row r="724">
      <c r="B724" s="11"/>
      <c r="C724" s="11"/>
      <c r="D724" s="11"/>
      <c r="E724" s="11"/>
      <c r="F724" s="11"/>
      <c r="G724" s="11"/>
    </row>
    <row r="725">
      <c r="B725" s="11"/>
      <c r="C725" s="11"/>
      <c r="D725" s="11"/>
      <c r="E725" s="11"/>
      <c r="F725" s="11"/>
      <c r="G725" s="11"/>
    </row>
    <row r="726">
      <c r="B726" s="11"/>
      <c r="C726" s="11"/>
      <c r="D726" s="11"/>
      <c r="E726" s="11"/>
      <c r="F726" s="11"/>
      <c r="G726" s="11"/>
    </row>
    <row r="727">
      <c r="B727" s="11"/>
      <c r="C727" s="11"/>
      <c r="D727" s="11"/>
      <c r="E727" s="11"/>
      <c r="F727" s="11"/>
      <c r="G727" s="11"/>
    </row>
    <row r="728">
      <c r="B728" s="11"/>
      <c r="C728" s="11"/>
      <c r="D728" s="11"/>
      <c r="E728" s="11"/>
      <c r="F728" s="11"/>
      <c r="G728" s="11"/>
    </row>
    <row r="729">
      <c r="B729" s="11"/>
      <c r="C729" s="11"/>
      <c r="D729" s="11"/>
      <c r="E729" s="11"/>
      <c r="F729" s="11"/>
      <c r="G729" s="11"/>
    </row>
    <row r="730">
      <c r="B730" s="11"/>
      <c r="C730" s="11"/>
      <c r="D730" s="11"/>
      <c r="E730" s="11"/>
      <c r="F730" s="11"/>
      <c r="G730" s="11"/>
    </row>
    <row r="731">
      <c r="B731" s="11"/>
      <c r="C731" s="11"/>
      <c r="D731" s="11"/>
      <c r="E731" s="11"/>
      <c r="F731" s="11"/>
      <c r="G731" s="11"/>
    </row>
    <row r="732">
      <c r="B732" s="11"/>
      <c r="C732" s="11"/>
      <c r="D732" s="11"/>
      <c r="E732" s="11"/>
      <c r="F732" s="11"/>
      <c r="G732" s="11"/>
    </row>
    <row r="733">
      <c r="B733" s="11"/>
      <c r="C733" s="11"/>
      <c r="D733" s="11"/>
      <c r="E733" s="11"/>
      <c r="F733" s="11"/>
      <c r="G733" s="11"/>
    </row>
    <row r="734">
      <c r="B734" s="11"/>
      <c r="C734" s="11"/>
      <c r="D734" s="11"/>
      <c r="E734" s="11"/>
      <c r="F734" s="11"/>
      <c r="G734" s="11"/>
    </row>
    <row r="735">
      <c r="B735" s="11"/>
      <c r="C735" s="11"/>
      <c r="D735" s="11"/>
      <c r="E735" s="11"/>
      <c r="F735" s="11"/>
      <c r="G735" s="11"/>
    </row>
    <row r="736">
      <c r="B736" s="11"/>
      <c r="C736" s="11"/>
      <c r="D736" s="11"/>
      <c r="E736" s="11"/>
      <c r="F736" s="11"/>
      <c r="G736" s="11"/>
    </row>
    <row r="737">
      <c r="B737" s="11"/>
      <c r="C737" s="11"/>
      <c r="D737" s="11"/>
      <c r="E737" s="11"/>
      <c r="F737" s="11"/>
      <c r="G737" s="11"/>
    </row>
    <row r="738">
      <c r="B738" s="11"/>
      <c r="C738" s="11"/>
      <c r="D738" s="11"/>
      <c r="E738" s="11"/>
      <c r="F738" s="11"/>
      <c r="G738" s="11"/>
    </row>
    <row r="739">
      <c r="B739" s="11"/>
      <c r="C739" s="11"/>
      <c r="D739" s="11"/>
      <c r="E739" s="11"/>
      <c r="F739" s="11"/>
      <c r="G739" s="11"/>
    </row>
    <row r="740">
      <c r="B740" s="11"/>
      <c r="C740" s="11"/>
      <c r="D740" s="11"/>
      <c r="E740" s="11"/>
      <c r="F740" s="11"/>
      <c r="G740" s="11"/>
    </row>
    <row r="741">
      <c r="B741" s="11"/>
      <c r="C741" s="11"/>
      <c r="D741" s="11"/>
      <c r="E741" s="11"/>
      <c r="F741" s="11"/>
      <c r="G741" s="11"/>
    </row>
    <row r="742">
      <c r="B742" s="11"/>
      <c r="C742" s="11"/>
      <c r="D742" s="11"/>
      <c r="E742" s="11"/>
      <c r="F742" s="11"/>
      <c r="G742" s="11"/>
    </row>
    <row r="743">
      <c r="B743" s="11"/>
      <c r="C743" s="11"/>
      <c r="D743" s="11"/>
      <c r="E743" s="11"/>
      <c r="F743" s="11"/>
      <c r="G743" s="11"/>
    </row>
    <row r="744">
      <c r="B744" s="11"/>
      <c r="C744" s="11"/>
      <c r="D744" s="11"/>
      <c r="E744" s="11"/>
      <c r="F744" s="11"/>
      <c r="G744" s="11"/>
    </row>
    <row r="745">
      <c r="B745" s="11"/>
      <c r="C745" s="11"/>
      <c r="D745" s="11"/>
      <c r="E745" s="11"/>
      <c r="F745" s="11"/>
      <c r="G745" s="11"/>
    </row>
    <row r="746">
      <c r="B746" s="11"/>
      <c r="C746" s="11"/>
      <c r="D746" s="11"/>
      <c r="E746" s="11"/>
      <c r="F746" s="11"/>
      <c r="G746" s="11"/>
    </row>
    <row r="747">
      <c r="B747" s="11"/>
      <c r="C747" s="11"/>
      <c r="D747" s="11"/>
      <c r="E747" s="11"/>
      <c r="F747" s="11"/>
      <c r="G747" s="11"/>
    </row>
    <row r="748">
      <c r="B748" s="11"/>
      <c r="C748" s="11"/>
      <c r="D748" s="11"/>
      <c r="E748" s="11"/>
      <c r="F748" s="11"/>
      <c r="G748" s="11"/>
    </row>
    <row r="749">
      <c r="B749" s="11"/>
      <c r="C749" s="11"/>
      <c r="D749" s="11"/>
      <c r="E749" s="11"/>
      <c r="F749" s="11"/>
      <c r="G749" s="11"/>
    </row>
    <row r="750">
      <c r="B750" s="11"/>
      <c r="C750" s="11"/>
      <c r="D750" s="11"/>
      <c r="E750" s="11"/>
      <c r="F750" s="11"/>
      <c r="G750" s="11"/>
    </row>
    <row r="751">
      <c r="B751" s="11"/>
      <c r="C751" s="11"/>
      <c r="D751" s="11"/>
      <c r="E751" s="11"/>
      <c r="F751" s="11"/>
      <c r="G751" s="11"/>
    </row>
    <row r="752">
      <c r="B752" s="11"/>
      <c r="C752" s="11"/>
      <c r="D752" s="11"/>
      <c r="E752" s="11"/>
      <c r="F752" s="11"/>
      <c r="G752" s="11"/>
    </row>
    <row r="753">
      <c r="B753" s="11"/>
      <c r="C753" s="11"/>
      <c r="D753" s="11"/>
      <c r="E753" s="11"/>
      <c r="F753" s="11"/>
      <c r="G753" s="11"/>
    </row>
    <row r="754">
      <c r="B754" s="11"/>
      <c r="C754" s="11"/>
      <c r="D754" s="11"/>
      <c r="E754" s="11"/>
      <c r="F754" s="11"/>
      <c r="G754" s="11"/>
    </row>
    <row r="755">
      <c r="B755" s="11"/>
      <c r="C755" s="11"/>
      <c r="D755" s="11"/>
      <c r="E755" s="11"/>
      <c r="F755" s="11"/>
      <c r="G755" s="11"/>
    </row>
    <row r="756">
      <c r="B756" s="11"/>
      <c r="C756" s="11"/>
      <c r="D756" s="11"/>
      <c r="E756" s="11"/>
      <c r="F756" s="11"/>
      <c r="G756" s="11"/>
    </row>
    <row r="757">
      <c r="B757" s="11"/>
      <c r="C757" s="11"/>
      <c r="D757" s="11"/>
      <c r="E757" s="11"/>
      <c r="F757" s="11"/>
      <c r="G757" s="11"/>
    </row>
    <row r="758">
      <c r="B758" s="11"/>
      <c r="C758" s="11"/>
      <c r="D758" s="11"/>
      <c r="E758" s="11"/>
      <c r="F758" s="11"/>
      <c r="G758" s="11"/>
    </row>
    <row r="759">
      <c r="B759" s="11"/>
      <c r="C759" s="11"/>
      <c r="D759" s="11"/>
      <c r="E759" s="11"/>
      <c r="F759" s="11"/>
      <c r="G759" s="11"/>
    </row>
    <row r="760">
      <c r="B760" s="11"/>
      <c r="C760" s="11"/>
      <c r="D760" s="11"/>
      <c r="E760" s="11"/>
      <c r="F760" s="11"/>
      <c r="G760" s="11"/>
    </row>
    <row r="761">
      <c r="B761" s="11"/>
      <c r="C761" s="11"/>
      <c r="D761" s="11"/>
      <c r="E761" s="11"/>
      <c r="F761" s="11"/>
      <c r="G761" s="11"/>
    </row>
    <row r="762">
      <c r="B762" s="11"/>
      <c r="C762" s="11"/>
      <c r="D762" s="11"/>
      <c r="E762" s="11"/>
      <c r="F762" s="11"/>
      <c r="G762" s="11"/>
    </row>
    <row r="763">
      <c r="B763" s="11"/>
      <c r="C763" s="11"/>
      <c r="D763" s="11"/>
      <c r="E763" s="11"/>
      <c r="F763" s="11"/>
      <c r="G763" s="11"/>
    </row>
    <row r="764">
      <c r="B764" s="11"/>
      <c r="C764" s="11"/>
      <c r="D764" s="11"/>
      <c r="E764" s="11"/>
      <c r="F764" s="11"/>
      <c r="G764" s="11"/>
    </row>
    <row r="765">
      <c r="B765" s="11"/>
      <c r="C765" s="11"/>
      <c r="D765" s="11"/>
      <c r="E765" s="11"/>
      <c r="F765" s="11"/>
      <c r="G765" s="11"/>
    </row>
    <row r="766">
      <c r="B766" s="11"/>
      <c r="C766" s="11"/>
      <c r="D766" s="11"/>
      <c r="E766" s="11"/>
      <c r="F766" s="11"/>
      <c r="G766" s="11"/>
    </row>
    <row r="767">
      <c r="B767" s="11"/>
      <c r="C767" s="11"/>
      <c r="D767" s="11"/>
      <c r="E767" s="11"/>
      <c r="F767" s="11"/>
      <c r="G767" s="11"/>
    </row>
    <row r="768">
      <c r="B768" s="11"/>
      <c r="C768" s="11"/>
      <c r="D768" s="11"/>
      <c r="E768" s="11"/>
      <c r="F768" s="11"/>
      <c r="G768" s="11"/>
    </row>
    <row r="769">
      <c r="B769" s="11"/>
      <c r="C769" s="11"/>
      <c r="D769" s="11"/>
      <c r="E769" s="11"/>
      <c r="F769" s="11"/>
      <c r="G769" s="11"/>
    </row>
    <row r="770">
      <c r="B770" s="11"/>
      <c r="C770" s="11"/>
      <c r="D770" s="11"/>
      <c r="E770" s="11"/>
      <c r="F770" s="11"/>
      <c r="G770" s="11"/>
    </row>
    <row r="771">
      <c r="B771" s="11"/>
      <c r="C771" s="11"/>
      <c r="D771" s="11"/>
      <c r="E771" s="11"/>
      <c r="F771" s="11"/>
      <c r="G771" s="11"/>
    </row>
    <row r="772">
      <c r="B772" s="11"/>
      <c r="C772" s="11"/>
      <c r="D772" s="11"/>
      <c r="E772" s="11"/>
      <c r="F772" s="11"/>
      <c r="G772" s="11"/>
    </row>
    <row r="773">
      <c r="B773" s="11"/>
      <c r="C773" s="11"/>
      <c r="D773" s="11"/>
      <c r="E773" s="11"/>
      <c r="F773" s="11"/>
      <c r="G773" s="11"/>
    </row>
    <row r="774">
      <c r="B774" s="11"/>
      <c r="C774" s="11"/>
      <c r="D774" s="11"/>
      <c r="E774" s="11"/>
      <c r="F774" s="11"/>
      <c r="G774" s="11"/>
    </row>
    <row r="775">
      <c r="B775" s="11"/>
      <c r="C775" s="11"/>
      <c r="D775" s="11"/>
      <c r="E775" s="11"/>
      <c r="F775" s="11"/>
      <c r="G775" s="11"/>
    </row>
    <row r="776">
      <c r="B776" s="11"/>
      <c r="C776" s="11"/>
      <c r="D776" s="11"/>
      <c r="E776" s="11"/>
      <c r="F776" s="11"/>
      <c r="G776" s="11"/>
    </row>
    <row r="777">
      <c r="B777" s="11"/>
      <c r="C777" s="11"/>
      <c r="D777" s="11"/>
      <c r="E777" s="11"/>
      <c r="F777" s="11"/>
      <c r="G777" s="11"/>
    </row>
    <row r="778">
      <c r="B778" s="11"/>
      <c r="C778" s="11"/>
      <c r="D778" s="11"/>
      <c r="E778" s="11"/>
      <c r="F778" s="11"/>
      <c r="G778" s="11"/>
    </row>
    <row r="779">
      <c r="B779" s="11"/>
      <c r="C779" s="11"/>
      <c r="D779" s="11"/>
      <c r="E779" s="11"/>
      <c r="F779" s="11"/>
      <c r="G779" s="11"/>
    </row>
    <row r="780">
      <c r="B780" s="11"/>
      <c r="C780" s="11"/>
      <c r="D780" s="11"/>
      <c r="E780" s="11"/>
      <c r="F780" s="11"/>
      <c r="G780" s="11"/>
    </row>
    <row r="781">
      <c r="B781" s="11"/>
      <c r="C781" s="11"/>
      <c r="D781" s="11"/>
      <c r="E781" s="11"/>
      <c r="F781" s="11"/>
      <c r="G781" s="11"/>
    </row>
    <row r="782">
      <c r="B782" s="11"/>
      <c r="C782" s="11"/>
      <c r="D782" s="11"/>
      <c r="E782" s="11"/>
      <c r="F782" s="11"/>
      <c r="G782" s="11"/>
    </row>
    <row r="783">
      <c r="B783" s="11"/>
      <c r="C783" s="11"/>
      <c r="D783" s="11"/>
      <c r="E783" s="11"/>
      <c r="F783" s="11"/>
      <c r="G783" s="11"/>
    </row>
    <row r="784">
      <c r="B784" s="11"/>
      <c r="C784" s="11"/>
      <c r="D784" s="11"/>
      <c r="E784" s="11"/>
      <c r="F784" s="11"/>
      <c r="G784" s="11"/>
    </row>
    <row r="785">
      <c r="B785" s="11"/>
      <c r="C785" s="11"/>
      <c r="D785" s="11"/>
      <c r="E785" s="11"/>
      <c r="F785" s="11"/>
      <c r="G785" s="11"/>
    </row>
    <row r="786">
      <c r="B786" s="11"/>
      <c r="C786" s="11"/>
      <c r="D786" s="11"/>
      <c r="E786" s="11"/>
      <c r="F786" s="11"/>
      <c r="G786" s="11"/>
    </row>
    <row r="787">
      <c r="B787" s="11"/>
      <c r="C787" s="11"/>
      <c r="D787" s="11"/>
      <c r="E787" s="11"/>
      <c r="F787" s="11"/>
      <c r="G787" s="11"/>
    </row>
    <row r="788">
      <c r="B788" s="11"/>
      <c r="C788" s="11"/>
      <c r="D788" s="11"/>
      <c r="E788" s="11"/>
      <c r="F788" s="11"/>
      <c r="G788" s="11"/>
    </row>
    <row r="789">
      <c r="B789" s="11"/>
      <c r="C789" s="11"/>
      <c r="D789" s="11"/>
      <c r="E789" s="11"/>
      <c r="F789" s="11"/>
      <c r="G789" s="11"/>
    </row>
    <row r="790">
      <c r="B790" s="11"/>
      <c r="C790" s="11"/>
      <c r="D790" s="11"/>
      <c r="E790" s="11"/>
      <c r="F790" s="11"/>
      <c r="G790" s="11"/>
    </row>
    <row r="791">
      <c r="B791" s="11"/>
      <c r="C791" s="11"/>
      <c r="D791" s="11"/>
      <c r="E791" s="11"/>
      <c r="F791" s="11"/>
      <c r="G791" s="11"/>
    </row>
    <row r="792">
      <c r="B792" s="11"/>
      <c r="C792" s="11"/>
      <c r="D792" s="11"/>
      <c r="E792" s="11"/>
      <c r="F792" s="11"/>
      <c r="G792" s="11"/>
    </row>
    <row r="793">
      <c r="B793" s="11"/>
      <c r="C793" s="11"/>
      <c r="D793" s="11"/>
      <c r="E793" s="11"/>
      <c r="F793" s="11"/>
      <c r="G793" s="11"/>
    </row>
    <row r="794">
      <c r="B794" s="11"/>
      <c r="C794" s="11"/>
      <c r="D794" s="11"/>
      <c r="E794" s="11"/>
      <c r="F794" s="11"/>
      <c r="G794" s="11"/>
    </row>
    <row r="795">
      <c r="B795" s="11"/>
      <c r="C795" s="11"/>
      <c r="D795" s="11"/>
      <c r="E795" s="11"/>
      <c r="F795" s="11"/>
      <c r="G795" s="11"/>
    </row>
    <row r="796">
      <c r="B796" s="11"/>
      <c r="C796" s="11"/>
      <c r="D796" s="11"/>
      <c r="E796" s="11"/>
      <c r="F796" s="11"/>
      <c r="G796" s="11"/>
    </row>
    <row r="797">
      <c r="B797" s="11"/>
      <c r="C797" s="11"/>
      <c r="D797" s="11"/>
      <c r="E797" s="11"/>
      <c r="F797" s="11"/>
      <c r="G797" s="11"/>
    </row>
    <row r="798">
      <c r="B798" s="11"/>
      <c r="C798" s="11"/>
      <c r="D798" s="11"/>
      <c r="E798" s="11"/>
      <c r="F798" s="11"/>
      <c r="G798" s="11"/>
    </row>
    <row r="799">
      <c r="B799" s="11"/>
      <c r="C799" s="11"/>
      <c r="D799" s="11"/>
      <c r="E799" s="11"/>
      <c r="F799" s="11"/>
      <c r="G799" s="11"/>
    </row>
    <row r="800">
      <c r="B800" s="11"/>
      <c r="C800" s="11"/>
      <c r="D800" s="11"/>
      <c r="E800" s="11"/>
      <c r="F800" s="11"/>
      <c r="G800" s="11"/>
    </row>
    <row r="801">
      <c r="B801" s="11"/>
      <c r="C801" s="11"/>
      <c r="D801" s="11"/>
      <c r="E801" s="11"/>
      <c r="F801" s="11"/>
      <c r="G801" s="11"/>
    </row>
    <row r="802">
      <c r="B802" s="11"/>
      <c r="C802" s="11"/>
      <c r="D802" s="11"/>
      <c r="E802" s="11"/>
      <c r="F802" s="11"/>
      <c r="G802" s="11"/>
    </row>
    <row r="803">
      <c r="B803" s="11"/>
      <c r="C803" s="11"/>
      <c r="D803" s="11"/>
      <c r="E803" s="11"/>
      <c r="F803" s="11"/>
      <c r="G803" s="11"/>
    </row>
    <row r="804">
      <c r="B804" s="11"/>
      <c r="C804" s="11"/>
      <c r="D804" s="11"/>
      <c r="E804" s="11"/>
      <c r="F804" s="11"/>
      <c r="G804" s="11"/>
    </row>
    <row r="805">
      <c r="B805" s="11"/>
      <c r="C805" s="11"/>
      <c r="D805" s="11"/>
      <c r="E805" s="11"/>
      <c r="F805" s="11"/>
      <c r="G805" s="11"/>
    </row>
    <row r="806">
      <c r="B806" s="11"/>
      <c r="C806" s="11"/>
      <c r="D806" s="11"/>
      <c r="E806" s="11"/>
      <c r="F806" s="11"/>
      <c r="G806" s="11"/>
    </row>
    <row r="807">
      <c r="B807" s="11"/>
      <c r="C807" s="11"/>
      <c r="D807" s="11"/>
      <c r="E807" s="11"/>
      <c r="F807" s="11"/>
      <c r="G807" s="11"/>
    </row>
    <row r="808">
      <c r="B808" s="11"/>
      <c r="C808" s="11"/>
      <c r="D808" s="11"/>
      <c r="E808" s="11"/>
      <c r="F808" s="11"/>
      <c r="G808" s="11"/>
    </row>
    <row r="809">
      <c r="B809" s="11"/>
      <c r="C809" s="11"/>
      <c r="D809" s="11"/>
      <c r="E809" s="11"/>
      <c r="F809" s="11"/>
      <c r="G809" s="11"/>
    </row>
    <row r="810">
      <c r="B810" s="11"/>
      <c r="C810" s="11"/>
      <c r="D810" s="11"/>
      <c r="E810" s="11"/>
      <c r="F810" s="11"/>
      <c r="G810" s="11"/>
    </row>
    <row r="811">
      <c r="B811" s="11"/>
      <c r="C811" s="11"/>
      <c r="D811" s="11"/>
      <c r="E811" s="11"/>
      <c r="F811" s="11"/>
      <c r="G811" s="11"/>
    </row>
    <row r="812">
      <c r="B812" s="11"/>
      <c r="C812" s="11"/>
      <c r="D812" s="11"/>
      <c r="E812" s="11"/>
      <c r="F812" s="11"/>
      <c r="G812" s="11"/>
    </row>
    <row r="813">
      <c r="B813" s="11"/>
      <c r="C813" s="11"/>
      <c r="D813" s="11"/>
      <c r="E813" s="11"/>
      <c r="F813" s="11"/>
      <c r="G813" s="11"/>
    </row>
    <row r="814">
      <c r="B814" s="11"/>
      <c r="C814" s="11"/>
      <c r="D814" s="11"/>
      <c r="E814" s="11"/>
      <c r="F814" s="11"/>
      <c r="G814" s="11"/>
    </row>
    <row r="815">
      <c r="B815" s="11"/>
      <c r="C815" s="11"/>
      <c r="D815" s="11"/>
      <c r="E815" s="11"/>
      <c r="F815" s="11"/>
      <c r="G815" s="11"/>
    </row>
    <row r="816">
      <c r="B816" s="11"/>
      <c r="C816" s="11"/>
      <c r="D816" s="11"/>
      <c r="E816" s="11"/>
      <c r="F816" s="11"/>
      <c r="G816" s="11"/>
    </row>
    <row r="817">
      <c r="B817" s="11"/>
      <c r="C817" s="11"/>
      <c r="D817" s="11"/>
      <c r="E817" s="11"/>
      <c r="F817" s="11"/>
      <c r="G817" s="11"/>
    </row>
    <row r="818">
      <c r="B818" s="11"/>
      <c r="C818" s="11"/>
      <c r="D818" s="11"/>
      <c r="E818" s="11"/>
      <c r="F818" s="11"/>
      <c r="G818" s="11"/>
    </row>
    <row r="819">
      <c r="B819" s="11"/>
      <c r="C819" s="11"/>
      <c r="D819" s="11"/>
      <c r="E819" s="11"/>
      <c r="F819" s="11"/>
      <c r="G819" s="11"/>
    </row>
    <row r="820">
      <c r="B820" s="11"/>
      <c r="C820" s="11"/>
      <c r="D820" s="11"/>
      <c r="E820" s="11"/>
      <c r="F820" s="11"/>
      <c r="G820" s="11"/>
    </row>
    <row r="821">
      <c r="B821" s="11"/>
      <c r="C821" s="11"/>
      <c r="D821" s="11"/>
      <c r="E821" s="11"/>
      <c r="F821" s="11"/>
      <c r="G821" s="11"/>
    </row>
    <row r="822">
      <c r="B822" s="11"/>
      <c r="C822" s="11"/>
      <c r="D822" s="11"/>
      <c r="E822" s="11"/>
      <c r="F822" s="11"/>
      <c r="G822" s="11"/>
    </row>
    <row r="823">
      <c r="B823" s="11"/>
      <c r="C823" s="11"/>
      <c r="D823" s="11"/>
      <c r="E823" s="11"/>
      <c r="F823" s="11"/>
      <c r="G823" s="11"/>
    </row>
    <row r="824">
      <c r="B824" s="11"/>
      <c r="C824" s="11"/>
      <c r="D824" s="11"/>
      <c r="E824" s="11"/>
      <c r="F824" s="11"/>
      <c r="G824" s="11"/>
    </row>
    <row r="825">
      <c r="B825" s="11"/>
      <c r="C825" s="11"/>
      <c r="D825" s="11"/>
      <c r="E825" s="11"/>
      <c r="F825" s="11"/>
      <c r="G825" s="11"/>
    </row>
    <row r="826">
      <c r="B826" s="11"/>
      <c r="C826" s="11"/>
      <c r="D826" s="11"/>
      <c r="E826" s="11"/>
      <c r="F826" s="11"/>
      <c r="G826" s="11"/>
    </row>
    <row r="827">
      <c r="B827" s="11"/>
      <c r="C827" s="11"/>
      <c r="D827" s="11"/>
      <c r="E827" s="11"/>
      <c r="F827" s="11"/>
      <c r="G827" s="11"/>
    </row>
    <row r="828">
      <c r="B828" s="11"/>
      <c r="C828" s="11"/>
      <c r="D828" s="11"/>
      <c r="E828" s="11"/>
      <c r="F828" s="11"/>
      <c r="G828" s="11"/>
    </row>
    <row r="829">
      <c r="B829" s="11"/>
      <c r="C829" s="11"/>
      <c r="D829" s="11"/>
      <c r="E829" s="11"/>
      <c r="F829" s="11"/>
      <c r="G829" s="11"/>
    </row>
    <row r="830">
      <c r="B830" s="11"/>
      <c r="C830" s="11"/>
      <c r="D830" s="11"/>
      <c r="E830" s="11"/>
      <c r="F830" s="11"/>
      <c r="G830" s="11"/>
    </row>
    <row r="831">
      <c r="B831" s="11"/>
      <c r="C831" s="11"/>
      <c r="D831" s="11"/>
      <c r="E831" s="11"/>
      <c r="F831" s="11"/>
      <c r="G831" s="11"/>
    </row>
    <row r="832">
      <c r="B832" s="11"/>
      <c r="C832" s="11"/>
      <c r="D832" s="11"/>
      <c r="E832" s="11"/>
      <c r="F832" s="11"/>
      <c r="G832" s="11"/>
    </row>
    <row r="833">
      <c r="B833" s="11"/>
      <c r="C833" s="11"/>
      <c r="D833" s="11"/>
      <c r="E833" s="11"/>
      <c r="F833" s="11"/>
      <c r="G833" s="11"/>
    </row>
    <row r="834">
      <c r="B834" s="11"/>
      <c r="C834" s="11"/>
      <c r="D834" s="11"/>
      <c r="E834" s="11"/>
      <c r="F834" s="11"/>
      <c r="G834" s="11"/>
    </row>
    <row r="835">
      <c r="B835" s="11"/>
      <c r="C835" s="11"/>
      <c r="D835" s="11"/>
      <c r="E835" s="11"/>
      <c r="F835" s="11"/>
      <c r="G835" s="11"/>
    </row>
    <row r="836">
      <c r="B836" s="11"/>
      <c r="C836" s="11"/>
      <c r="D836" s="11"/>
      <c r="E836" s="11"/>
      <c r="F836" s="11"/>
      <c r="G836" s="11"/>
    </row>
    <row r="837">
      <c r="B837" s="11"/>
      <c r="C837" s="11"/>
      <c r="D837" s="11"/>
      <c r="E837" s="11"/>
      <c r="F837" s="11"/>
      <c r="G837" s="11"/>
    </row>
    <row r="838">
      <c r="B838" s="11"/>
      <c r="C838" s="11"/>
      <c r="D838" s="11"/>
      <c r="E838" s="11"/>
      <c r="F838" s="11"/>
      <c r="G838" s="11"/>
    </row>
    <row r="839">
      <c r="B839" s="11"/>
      <c r="C839" s="11"/>
      <c r="D839" s="11"/>
      <c r="E839" s="11"/>
      <c r="F839" s="11"/>
      <c r="G839" s="11"/>
    </row>
    <row r="840">
      <c r="B840" s="11"/>
      <c r="C840" s="11"/>
      <c r="D840" s="11"/>
      <c r="E840" s="11"/>
      <c r="F840" s="11"/>
      <c r="G840" s="11"/>
    </row>
    <row r="841">
      <c r="B841" s="11"/>
      <c r="C841" s="11"/>
      <c r="D841" s="11"/>
      <c r="E841" s="11"/>
      <c r="F841" s="11"/>
      <c r="G841" s="11"/>
    </row>
    <row r="842">
      <c r="B842" s="11"/>
      <c r="C842" s="11"/>
      <c r="D842" s="11"/>
      <c r="E842" s="11"/>
      <c r="F842" s="11"/>
      <c r="G842" s="11"/>
    </row>
    <row r="843">
      <c r="B843" s="11"/>
      <c r="C843" s="11"/>
      <c r="D843" s="11"/>
      <c r="E843" s="11"/>
      <c r="F843" s="11"/>
      <c r="G843" s="11"/>
    </row>
    <row r="844">
      <c r="B844" s="11"/>
      <c r="C844" s="11"/>
      <c r="D844" s="11"/>
      <c r="E844" s="11"/>
      <c r="F844" s="11"/>
      <c r="G844" s="11"/>
    </row>
    <row r="845">
      <c r="B845" s="11"/>
      <c r="C845" s="11"/>
      <c r="D845" s="11"/>
      <c r="E845" s="11"/>
      <c r="F845" s="11"/>
      <c r="G845" s="11"/>
    </row>
    <row r="846">
      <c r="B846" s="11"/>
      <c r="C846" s="11"/>
      <c r="D846" s="11"/>
      <c r="E846" s="11"/>
      <c r="F846" s="11"/>
      <c r="G846" s="11"/>
    </row>
    <row r="847">
      <c r="B847" s="11"/>
      <c r="C847" s="11"/>
      <c r="D847" s="11"/>
      <c r="E847" s="11"/>
      <c r="F847" s="11"/>
      <c r="G847" s="11"/>
    </row>
    <row r="848">
      <c r="B848" s="11"/>
      <c r="C848" s="11"/>
      <c r="D848" s="11"/>
      <c r="E848" s="11"/>
      <c r="F848" s="11"/>
      <c r="G848" s="11"/>
    </row>
    <row r="849">
      <c r="B849" s="11"/>
      <c r="C849" s="11"/>
      <c r="D849" s="11"/>
      <c r="E849" s="11"/>
      <c r="F849" s="11"/>
      <c r="G849" s="11"/>
    </row>
    <row r="850">
      <c r="B850" s="11"/>
      <c r="C850" s="11"/>
      <c r="D850" s="11"/>
      <c r="E850" s="11"/>
      <c r="F850" s="11"/>
      <c r="G850" s="11"/>
    </row>
    <row r="851">
      <c r="B851" s="11"/>
      <c r="C851" s="11"/>
      <c r="D851" s="11"/>
      <c r="E851" s="11"/>
      <c r="F851" s="11"/>
      <c r="G851" s="11"/>
    </row>
    <row r="852">
      <c r="B852" s="11"/>
      <c r="C852" s="11"/>
      <c r="D852" s="11"/>
      <c r="E852" s="11"/>
      <c r="F852" s="11"/>
      <c r="G852" s="11"/>
    </row>
    <row r="853">
      <c r="B853" s="11"/>
      <c r="C853" s="11"/>
      <c r="D853" s="11"/>
      <c r="E853" s="11"/>
      <c r="F853" s="11"/>
      <c r="G853" s="11"/>
    </row>
    <row r="854">
      <c r="B854" s="11"/>
      <c r="C854" s="11"/>
      <c r="D854" s="11"/>
      <c r="E854" s="11"/>
      <c r="F854" s="11"/>
      <c r="G854" s="11"/>
    </row>
    <row r="855">
      <c r="B855" s="11"/>
      <c r="C855" s="11"/>
      <c r="D855" s="11"/>
      <c r="E855" s="11"/>
      <c r="F855" s="11"/>
      <c r="G855" s="11"/>
    </row>
    <row r="856">
      <c r="B856" s="11"/>
      <c r="C856" s="11"/>
      <c r="D856" s="11"/>
      <c r="E856" s="11"/>
      <c r="F856" s="11"/>
      <c r="G856" s="11"/>
    </row>
    <row r="857">
      <c r="B857" s="11"/>
      <c r="C857" s="11"/>
      <c r="D857" s="11"/>
      <c r="E857" s="11"/>
      <c r="F857" s="11"/>
      <c r="G857" s="11"/>
    </row>
    <row r="858">
      <c r="B858" s="11"/>
      <c r="C858" s="11"/>
      <c r="D858" s="11"/>
      <c r="E858" s="11"/>
      <c r="F858" s="11"/>
      <c r="G858" s="11"/>
    </row>
    <row r="859">
      <c r="B859" s="11"/>
      <c r="C859" s="11"/>
      <c r="D859" s="11"/>
      <c r="E859" s="11"/>
      <c r="F859" s="11"/>
      <c r="G859" s="11"/>
    </row>
    <row r="860">
      <c r="B860" s="11"/>
      <c r="C860" s="11"/>
      <c r="D860" s="11"/>
      <c r="E860" s="11"/>
      <c r="F860" s="11"/>
      <c r="G860" s="11"/>
    </row>
    <row r="861">
      <c r="B861" s="11"/>
      <c r="C861" s="11"/>
      <c r="D861" s="11"/>
      <c r="E861" s="11"/>
      <c r="F861" s="11"/>
      <c r="G861" s="11"/>
    </row>
    <row r="862">
      <c r="B862" s="11"/>
      <c r="C862" s="11"/>
      <c r="D862" s="11"/>
      <c r="E862" s="11"/>
      <c r="F862" s="11"/>
      <c r="G862" s="11"/>
    </row>
    <row r="863">
      <c r="B863" s="11"/>
      <c r="C863" s="11"/>
      <c r="D863" s="11"/>
      <c r="E863" s="11"/>
      <c r="F863" s="11"/>
      <c r="G863" s="11"/>
    </row>
    <row r="864">
      <c r="B864" s="11"/>
      <c r="C864" s="11"/>
      <c r="D864" s="11"/>
      <c r="E864" s="11"/>
      <c r="F864" s="11"/>
      <c r="G864" s="11"/>
    </row>
    <row r="865">
      <c r="B865" s="11"/>
      <c r="C865" s="11"/>
      <c r="D865" s="11"/>
      <c r="E865" s="11"/>
      <c r="F865" s="11"/>
      <c r="G865" s="11"/>
    </row>
    <row r="866">
      <c r="B866" s="11"/>
      <c r="C866" s="11"/>
      <c r="D866" s="11"/>
      <c r="E866" s="11"/>
      <c r="F866" s="11"/>
      <c r="G866" s="11"/>
    </row>
    <row r="867">
      <c r="B867" s="11"/>
      <c r="C867" s="11"/>
      <c r="D867" s="11"/>
      <c r="E867" s="11"/>
      <c r="F867" s="11"/>
      <c r="G867" s="11"/>
    </row>
    <row r="868">
      <c r="B868" s="11"/>
      <c r="C868" s="11"/>
      <c r="D868" s="11"/>
      <c r="E868" s="11"/>
      <c r="F868" s="11"/>
      <c r="G868" s="11"/>
    </row>
    <row r="869">
      <c r="B869" s="11"/>
      <c r="C869" s="11"/>
      <c r="D869" s="11"/>
      <c r="E869" s="11"/>
      <c r="F869" s="11"/>
      <c r="G869" s="11"/>
    </row>
    <row r="870">
      <c r="B870" s="11"/>
      <c r="C870" s="11"/>
      <c r="D870" s="11"/>
      <c r="E870" s="11"/>
      <c r="F870" s="11"/>
      <c r="G870" s="11"/>
    </row>
    <row r="871">
      <c r="B871" s="11"/>
      <c r="C871" s="11"/>
      <c r="D871" s="11"/>
      <c r="E871" s="11"/>
      <c r="F871" s="11"/>
      <c r="G871" s="11"/>
    </row>
    <row r="872">
      <c r="B872" s="11"/>
      <c r="C872" s="11"/>
      <c r="D872" s="11"/>
      <c r="E872" s="11"/>
      <c r="F872" s="11"/>
      <c r="G872" s="11"/>
    </row>
    <row r="873">
      <c r="B873" s="11"/>
      <c r="C873" s="11"/>
      <c r="D873" s="11"/>
      <c r="E873" s="11"/>
      <c r="F873" s="11"/>
      <c r="G873" s="11"/>
    </row>
    <row r="874">
      <c r="B874" s="11"/>
      <c r="C874" s="11"/>
      <c r="D874" s="11"/>
      <c r="E874" s="11"/>
      <c r="F874" s="11"/>
      <c r="G874" s="11"/>
    </row>
    <row r="875">
      <c r="B875" s="11"/>
      <c r="C875" s="11"/>
      <c r="D875" s="11"/>
      <c r="E875" s="11"/>
      <c r="F875" s="11"/>
      <c r="G875" s="11"/>
    </row>
    <row r="876">
      <c r="B876" s="11"/>
      <c r="C876" s="11"/>
      <c r="D876" s="11"/>
      <c r="E876" s="11"/>
      <c r="F876" s="11"/>
      <c r="G876" s="11"/>
    </row>
    <row r="877">
      <c r="B877" s="11"/>
      <c r="C877" s="11"/>
      <c r="D877" s="11"/>
      <c r="E877" s="11"/>
      <c r="F877" s="11"/>
      <c r="G877" s="11"/>
    </row>
    <row r="878">
      <c r="B878" s="11"/>
      <c r="C878" s="11"/>
      <c r="D878" s="11"/>
      <c r="E878" s="11"/>
      <c r="F878" s="11"/>
      <c r="G878" s="11"/>
    </row>
    <row r="879">
      <c r="B879" s="11"/>
      <c r="C879" s="11"/>
      <c r="D879" s="11"/>
      <c r="E879" s="11"/>
      <c r="F879" s="11"/>
      <c r="G879" s="11"/>
    </row>
    <row r="880">
      <c r="B880" s="11"/>
      <c r="C880" s="11"/>
      <c r="D880" s="11"/>
      <c r="E880" s="11"/>
      <c r="F880" s="11"/>
      <c r="G880" s="11"/>
    </row>
    <row r="881">
      <c r="B881" s="11"/>
      <c r="C881" s="11"/>
      <c r="D881" s="11"/>
      <c r="E881" s="11"/>
      <c r="F881" s="11"/>
      <c r="G881" s="11"/>
    </row>
    <row r="882">
      <c r="B882" s="11"/>
      <c r="C882" s="11"/>
      <c r="D882" s="11"/>
      <c r="E882" s="11"/>
      <c r="F882" s="11"/>
      <c r="G882" s="11"/>
    </row>
    <row r="883">
      <c r="B883" s="11"/>
      <c r="C883" s="11"/>
      <c r="D883" s="11"/>
      <c r="E883" s="11"/>
      <c r="F883" s="11"/>
      <c r="G883" s="11"/>
    </row>
    <row r="884">
      <c r="B884" s="11"/>
      <c r="C884" s="11"/>
      <c r="D884" s="11"/>
      <c r="E884" s="11"/>
      <c r="F884" s="11"/>
      <c r="G884" s="11"/>
    </row>
    <row r="885">
      <c r="B885" s="11"/>
      <c r="C885" s="11"/>
      <c r="D885" s="11"/>
      <c r="E885" s="11"/>
      <c r="F885" s="11"/>
      <c r="G885" s="11"/>
    </row>
    <row r="886">
      <c r="B886" s="11"/>
      <c r="C886" s="11"/>
      <c r="D886" s="11"/>
      <c r="E886" s="11"/>
      <c r="F886" s="11"/>
      <c r="G886" s="11"/>
    </row>
    <row r="887">
      <c r="B887" s="11"/>
      <c r="C887" s="11"/>
      <c r="D887" s="11"/>
      <c r="E887" s="11"/>
      <c r="F887" s="11"/>
      <c r="G887" s="11"/>
    </row>
    <row r="888">
      <c r="B888" s="11"/>
      <c r="C888" s="11"/>
      <c r="D888" s="11"/>
      <c r="E888" s="11"/>
      <c r="F888" s="11"/>
      <c r="G888" s="11"/>
    </row>
    <row r="889">
      <c r="B889" s="11"/>
      <c r="C889" s="11"/>
      <c r="D889" s="11"/>
      <c r="E889" s="11"/>
      <c r="F889" s="11"/>
      <c r="G889" s="11"/>
    </row>
    <row r="890">
      <c r="B890" s="11"/>
      <c r="C890" s="11"/>
      <c r="D890" s="11"/>
      <c r="E890" s="11"/>
      <c r="F890" s="11"/>
      <c r="G890" s="11"/>
    </row>
    <row r="891">
      <c r="B891" s="11"/>
      <c r="C891" s="11"/>
      <c r="D891" s="11"/>
      <c r="E891" s="11"/>
      <c r="F891" s="11"/>
      <c r="G891" s="11"/>
    </row>
    <row r="892">
      <c r="B892" s="11"/>
      <c r="C892" s="11"/>
      <c r="D892" s="11"/>
      <c r="E892" s="11"/>
      <c r="F892" s="11"/>
      <c r="G892" s="11"/>
    </row>
    <row r="893">
      <c r="B893" s="11"/>
      <c r="C893" s="11"/>
      <c r="D893" s="11"/>
      <c r="E893" s="11"/>
      <c r="F893" s="11"/>
      <c r="G893" s="11"/>
    </row>
    <row r="894">
      <c r="B894" s="11"/>
      <c r="C894" s="11"/>
      <c r="D894" s="11"/>
      <c r="E894" s="11"/>
      <c r="F894" s="11"/>
      <c r="G894" s="11"/>
    </row>
    <row r="895">
      <c r="B895" s="11"/>
      <c r="C895" s="11"/>
      <c r="D895" s="11"/>
      <c r="E895" s="11"/>
      <c r="F895" s="11"/>
      <c r="G895" s="11"/>
    </row>
    <row r="896">
      <c r="B896" s="11"/>
      <c r="C896" s="11"/>
      <c r="D896" s="11"/>
      <c r="E896" s="11"/>
      <c r="F896" s="11"/>
      <c r="G896" s="11"/>
    </row>
    <row r="897">
      <c r="B897" s="11"/>
      <c r="C897" s="11"/>
      <c r="D897" s="11"/>
      <c r="E897" s="11"/>
      <c r="F897" s="11"/>
      <c r="G897" s="11"/>
    </row>
    <row r="898">
      <c r="B898" s="11"/>
      <c r="C898" s="11"/>
      <c r="D898" s="11"/>
      <c r="E898" s="11"/>
      <c r="F898" s="11"/>
      <c r="G898" s="11"/>
    </row>
    <row r="899">
      <c r="B899" s="11"/>
      <c r="C899" s="11"/>
      <c r="D899" s="11"/>
      <c r="E899" s="11"/>
      <c r="F899" s="11"/>
      <c r="G899" s="11"/>
    </row>
    <row r="900">
      <c r="B900" s="11"/>
      <c r="C900" s="11"/>
      <c r="D900" s="11"/>
      <c r="E900" s="11"/>
      <c r="F900" s="11"/>
      <c r="G900" s="11"/>
    </row>
    <row r="901">
      <c r="B901" s="11"/>
      <c r="C901" s="11"/>
      <c r="D901" s="11"/>
      <c r="E901" s="11"/>
      <c r="F901" s="11"/>
      <c r="G901" s="11"/>
    </row>
    <row r="902">
      <c r="B902" s="11"/>
      <c r="C902" s="11"/>
      <c r="D902" s="11"/>
      <c r="E902" s="11"/>
      <c r="F902" s="11"/>
      <c r="G902" s="11"/>
    </row>
    <row r="903">
      <c r="B903" s="11"/>
      <c r="C903" s="11"/>
      <c r="D903" s="11"/>
      <c r="E903" s="11"/>
      <c r="F903" s="11"/>
      <c r="G903" s="11"/>
    </row>
    <row r="904">
      <c r="B904" s="11"/>
      <c r="C904" s="11"/>
      <c r="D904" s="11"/>
      <c r="E904" s="11"/>
      <c r="F904" s="11"/>
      <c r="G904" s="11"/>
    </row>
    <row r="905">
      <c r="B905" s="11"/>
      <c r="C905" s="11"/>
      <c r="D905" s="11"/>
      <c r="E905" s="11"/>
      <c r="F905" s="11"/>
      <c r="G905" s="11"/>
    </row>
    <row r="906">
      <c r="B906" s="11"/>
      <c r="C906" s="11"/>
      <c r="D906" s="11"/>
      <c r="E906" s="11"/>
      <c r="F906" s="11"/>
      <c r="G906" s="11"/>
    </row>
    <row r="907">
      <c r="B907" s="11"/>
      <c r="C907" s="11"/>
      <c r="D907" s="11"/>
      <c r="E907" s="11"/>
      <c r="F907" s="11"/>
      <c r="G907" s="11"/>
    </row>
    <row r="908">
      <c r="B908" s="11"/>
      <c r="C908" s="11"/>
      <c r="D908" s="11"/>
      <c r="E908" s="11"/>
      <c r="F908" s="11"/>
      <c r="G908" s="11"/>
    </row>
    <row r="909">
      <c r="B909" s="11"/>
      <c r="C909" s="11"/>
      <c r="D909" s="11"/>
      <c r="E909" s="11"/>
      <c r="F909" s="11"/>
      <c r="G909" s="11"/>
    </row>
    <row r="910">
      <c r="B910" s="11"/>
      <c r="C910" s="11"/>
      <c r="D910" s="11"/>
      <c r="E910" s="11"/>
      <c r="F910" s="11"/>
      <c r="G910" s="11"/>
    </row>
    <row r="911">
      <c r="B911" s="11"/>
      <c r="C911" s="11"/>
      <c r="D911" s="11"/>
      <c r="E911" s="11"/>
      <c r="F911" s="11"/>
      <c r="G911" s="11"/>
    </row>
    <row r="912">
      <c r="B912" s="11"/>
      <c r="C912" s="11"/>
      <c r="D912" s="11"/>
      <c r="E912" s="11"/>
      <c r="F912" s="11"/>
      <c r="G912" s="11"/>
    </row>
    <row r="913">
      <c r="B913" s="11"/>
      <c r="C913" s="11"/>
      <c r="D913" s="11"/>
      <c r="E913" s="11"/>
      <c r="F913" s="11"/>
      <c r="G913" s="11"/>
    </row>
    <row r="914">
      <c r="B914" s="11"/>
      <c r="C914" s="11"/>
      <c r="D914" s="11"/>
      <c r="E914" s="11"/>
      <c r="F914" s="11"/>
      <c r="G914" s="11"/>
    </row>
    <row r="915">
      <c r="B915" s="11"/>
      <c r="C915" s="11"/>
      <c r="D915" s="11"/>
      <c r="E915" s="11"/>
      <c r="F915" s="11"/>
      <c r="G915" s="11"/>
    </row>
    <row r="916">
      <c r="B916" s="11"/>
      <c r="C916" s="11"/>
      <c r="D916" s="11"/>
      <c r="E916" s="11"/>
      <c r="F916" s="11"/>
      <c r="G916" s="11"/>
    </row>
    <row r="917">
      <c r="B917" s="11"/>
      <c r="C917" s="11"/>
      <c r="D917" s="11"/>
      <c r="E917" s="11"/>
      <c r="F917" s="11"/>
      <c r="G917" s="11"/>
    </row>
    <row r="918">
      <c r="B918" s="11"/>
      <c r="C918" s="11"/>
      <c r="D918" s="11"/>
      <c r="E918" s="11"/>
      <c r="F918" s="11"/>
      <c r="G918" s="11"/>
    </row>
    <row r="919">
      <c r="B919" s="11"/>
      <c r="C919" s="11"/>
      <c r="D919" s="11"/>
      <c r="E919" s="11"/>
      <c r="F919" s="11"/>
      <c r="G919" s="11"/>
    </row>
    <row r="920">
      <c r="B920" s="11"/>
      <c r="C920" s="11"/>
      <c r="D920" s="11"/>
      <c r="E920" s="11"/>
      <c r="F920" s="11"/>
      <c r="G920" s="11"/>
    </row>
    <row r="921">
      <c r="B921" s="11"/>
      <c r="C921" s="11"/>
      <c r="D921" s="11"/>
      <c r="E921" s="11"/>
      <c r="F921" s="11"/>
      <c r="G921" s="11"/>
    </row>
    <row r="922">
      <c r="B922" s="11"/>
      <c r="C922" s="11"/>
      <c r="D922" s="11"/>
      <c r="E922" s="11"/>
      <c r="F922" s="11"/>
      <c r="G922" s="11"/>
    </row>
    <row r="923">
      <c r="B923" s="11"/>
      <c r="C923" s="11"/>
      <c r="D923" s="11"/>
      <c r="E923" s="11"/>
      <c r="F923" s="11"/>
      <c r="G923" s="11"/>
    </row>
    <row r="924">
      <c r="B924" s="11"/>
      <c r="C924" s="11"/>
      <c r="D924" s="11"/>
      <c r="E924" s="11"/>
      <c r="F924" s="11"/>
      <c r="G924" s="11"/>
    </row>
    <row r="925">
      <c r="B925" s="11"/>
      <c r="C925" s="11"/>
      <c r="D925" s="11"/>
      <c r="E925" s="11"/>
      <c r="F925" s="11"/>
      <c r="G925" s="11"/>
    </row>
    <row r="926">
      <c r="B926" s="11"/>
      <c r="C926" s="11"/>
      <c r="D926" s="11"/>
      <c r="E926" s="11"/>
      <c r="F926" s="11"/>
      <c r="G926" s="11"/>
    </row>
    <row r="927">
      <c r="B927" s="11"/>
      <c r="C927" s="11"/>
      <c r="D927" s="11"/>
      <c r="E927" s="11"/>
      <c r="F927" s="11"/>
      <c r="G927" s="11"/>
    </row>
    <row r="928">
      <c r="B928" s="11"/>
      <c r="C928" s="11"/>
      <c r="D928" s="11"/>
      <c r="E928" s="11"/>
      <c r="F928" s="11"/>
      <c r="G928" s="11"/>
    </row>
    <row r="929">
      <c r="B929" s="11"/>
      <c r="C929" s="11"/>
      <c r="D929" s="11"/>
      <c r="E929" s="11"/>
      <c r="F929" s="11"/>
      <c r="G929" s="11"/>
    </row>
    <row r="930">
      <c r="B930" s="11"/>
      <c r="C930" s="11"/>
      <c r="D930" s="11"/>
      <c r="E930" s="11"/>
      <c r="F930" s="11"/>
      <c r="G930" s="11"/>
    </row>
    <row r="931">
      <c r="B931" s="11"/>
      <c r="C931" s="11"/>
      <c r="D931" s="11"/>
      <c r="E931" s="11"/>
      <c r="F931" s="11"/>
      <c r="G931" s="11"/>
    </row>
    <row r="932">
      <c r="B932" s="11"/>
      <c r="C932" s="11"/>
      <c r="D932" s="11"/>
      <c r="E932" s="11"/>
      <c r="F932" s="11"/>
      <c r="G932" s="11"/>
    </row>
    <row r="933">
      <c r="B933" s="11"/>
      <c r="C933" s="11"/>
      <c r="D933" s="11"/>
      <c r="E933" s="11"/>
      <c r="F933" s="11"/>
      <c r="G933" s="11"/>
    </row>
    <row r="934">
      <c r="B934" s="11"/>
      <c r="C934" s="11"/>
      <c r="D934" s="11"/>
      <c r="E934" s="11"/>
      <c r="F934" s="11"/>
      <c r="G934" s="11"/>
    </row>
    <row r="935">
      <c r="B935" s="11"/>
      <c r="C935" s="11"/>
      <c r="D935" s="11"/>
      <c r="E935" s="11"/>
      <c r="F935" s="11"/>
      <c r="G935" s="11"/>
    </row>
    <row r="936">
      <c r="B936" s="11"/>
      <c r="C936" s="11"/>
      <c r="D936" s="11"/>
      <c r="E936" s="11"/>
      <c r="F936" s="11"/>
      <c r="G936" s="11"/>
    </row>
    <row r="937">
      <c r="B937" s="11"/>
      <c r="C937" s="11"/>
      <c r="D937" s="11"/>
      <c r="E937" s="11"/>
      <c r="F937" s="11"/>
      <c r="G937" s="11"/>
    </row>
    <row r="938">
      <c r="B938" s="11"/>
      <c r="C938" s="11"/>
      <c r="D938" s="11"/>
      <c r="E938" s="11"/>
      <c r="F938" s="11"/>
      <c r="G938" s="11"/>
    </row>
    <row r="939">
      <c r="B939" s="11"/>
      <c r="C939" s="11"/>
      <c r="D939" s="11"/>
      <c r="E939" s="11"/>
      <c r="F939" s="11"/>
      <c r="G939" s="11"/>
    </row>
    <row r="940">
      <c r="B940" s="11"/>
      <c r="C940" s="11"/>
      <c r="D940" s="11"/>
      <c r="E940" s="11"/>
      <c r="F940" s="11"/>
      <c r="G940" s="11"/>
    </row>
    <row r="941">
      <c r="B941" s="11"/>
      <c r="C941" s="11"/>
      <c r="D941" s="11"/>
      <c r="E941" s="11"/>
      <c r="F941" s="11"/>
      <c r="G941" s="11"/>
    </row>
    <row r="942">
      <c r="B942" s="11"/>
      <c r="C942" s="11"/>
      <c r="D942" s="11"/>
      <c r="E942" s="11"/>
      <c r="F942" s="11"/>
      <c r="G942" s="11"/>
    </row>
    <row r="943">
      <c r="B943" s="11"/>
      <c r="C943" s="11"/>
      <c r="D943" s="11"/>
      <c r="E943" s="11"/>
      <c r="F943" s="11"/>
      <c r="G943" s="11"/>
    </row>
    <row r="944">
      <c r="B944" s="11"/>
      <c r="C944" s="11"/>
      <c r="D944" s="11"/>
      <c r="E944" s="11"/>
      <c r="F944" s="11"/>
      <c r="G944" s="11"/>
    </row>
    <row r="945">
      <c r="B945" s="11"/>
      <c r="C945" s="11"/>
      <c r="D945" s="11"/>
      <c r="E945" s="11"/>
      <c r="F945" s="11"/>
      <c r="G945" s="11"/>
    </row>
    <row r="946">
      <c r="B946" s="11"/>
      <c r="C946" s="11"/>
      <c r="D946" s="11"/>
      <c r="E946" s="11"/>
      <c r="F946" s="11"/>
      <c r="G946" s="11"/>
    </row>
    <row r="947">
      <c r="B947" s="11"/>
      <c r="C947" s="11"/>
      <c r="D947" s="11"/>
      <c r="E947" s="11"/>
      <c r="F947" s="11"/>
      <c r="G947" s="11"/>
    </row>
    <row r="948">
      <c r="B948" s="11"/>
      <c r="C948" s="11"/>
      <c r="D948" s="11"/>
      <c r="E948" s="11"/>
      <c r="F948" s="11"/>
      <c r="G948" s="11"/>
    </row>
    <row r="949">
      <c r="B949" s="11"/>
      <c r="C949" s="11"/>
      <c r="D949" s="11"/>
      <c r="E949" s="11"/>
      <c r="F949" s="11"/>
      <c r="G949" s="11"/>
    </row>
    <row r="950">
      <c r="B950" s="11"/>
      <c r="C950" s="11"/>
      <c r="D950" s="11"/>
      <c r="E950" s="11"/>
      <c r="F950" s="11"/>
      <c r="G950" s="11"/>
    </row>
    <row r="951">
      <c r="B951" s="11"/>
      <c r="C951" s="11"/>
      <c r="D951" s="11"/>
      <c r="E951" s="11"/>
      <c r="F951" s="11"/>
      <c r="G951" s="11"/>
    </row>
    <row r="952">
      <c r="B952" s="11"/>
      <c r="C952" s="11"/>
      <c r="D952" s="11"/>
      <c r="E952" s="11"/>
      <c r="F952" s="11"/>
      <c r="G952" s="11"/>
    </row>
    <row r="953">
      <c r="B953" s="11"/>
      <c r="C953" s="11"/>
      <c r="D953" s="11"/>
      <c r="E953" s="11"/>
      <c r="F953" s="11"/>
      <c r="G953" s="11"/>
    </row>
    <row r="954">
      <c r="B954" s="11"/>
      <c r="C954" s="11"/>
      <c r="D954" s="11"/>
      <c r="E954" s="11"/>
      <c r="F954" s="11"/>
      <c r="G954" s="11"/>
    </row>
    <row r="955">
      <c r="B955" s="11"/>
      <c r="C955" s="11"/>
      <c r="D955" s="11"/>
      <c r="E955" s="11"/>
      <c r="F955" s="11"/>
      <c r="G955" s="11"/>
    </row>
    <row r="956">
      <c r="B956" s="11"/>
      <c r="C956" s="11"/>
      <c r="D956" s="11"/>
      <c r="E956" s="11"/>
      <c r="F956" s="11"/>
      <c r="G956" s="11"/>
    </row>
    <row r="957">
      <c r="B957" s="11"/>
      <c r="C957" s="11"/>
      <c r="D957" s="11"/>
      <c r="E957" s="11"/>
      <c r="F957" s="11"/>
      <c r="G957" s="11"/>
    </row>
    <row r="958">
      <c r="B958" s="11"/>
      <c r="C958" s="11"/>
      <c r="D958" s="11"/>
      <c r="E958" s="11"/>
      <c r="F958" s="11"/>
      <c r="G958" s="11"/>
    </row>
    <row r="959">
      <c r="B959" s="11"/>
      <c r="C959" s="11"/>
      <c r="D959" s="11"/>
      <c r="E959" s="11"/>
      <c r="F959" s="11"/>
      <c r="G959" s="11"/>
    </row>
    <row r="960">
      <c r="B960" s="11"/>
      <c r="C960" s="11"/>
      <c r="D960" s="11"/>
      <c r="E960" s="11"/>
      <c r="F960" s="11"/>
      <c r="G960" s="11"/>
    </row>
    <row r="961">
      <c r="B961" s="11"/>
      <c r="C961" s="11"/>
      <c r="D961" s="11"/>
      <c r="E961" s="11"/>
      <c r="F961" s="11"/>
      <c r="G961" s="11"/>
    </row>
    <row r="962">
      <c r="B962" s="11"/>
      <c r="C962" s="11"/>
      <c r="D962" s="11"/>
      <c r="E962" s="11"/>
      <c r="F962" s="11"/>
      <c r="G962" s="11"/>
    </row>
    <row r="963">
      <c r="B963" s="11"/>
      <c r="C963" s="11"/>
      <c r="D963" s="11"/>
      <c r="E963" s="11"/>
      <c r="F963" s="11"/>
      <c r="G963" s="11"/>
    </row>
    <row r="964">
      <c r="B964" s="11"/>
      <c r="C964" s="11"/>
      <c r="D964" s="11"/>
      <c r="E964" s="11"/>
      <c r="F964" s="11"/>
      <c r="G964" s="11"/>
    </row>
    <row r="965">
      <c r="B965" s="11"/>
      <c r="C965" s="11"/>
      <c r="D965" s="11"/>
      <c r="E965" s="11"/>
      <c r="F965" s="11"/>
      <c r="G965" s="11"/>
    </row>
    <row r="966">
      <c r="B966" s="11"/>
      <c r="C966" s="11"/>
      <c r="D966" s="11"/>
      <c r="E966" s="11"/>
      <c r="F966" s="11"/>
      <c r="G966" s="11"/>
    </row>
    <row r="967">
      <c r="B967" s="11"/>
      <c r="C967" s="11"/>
      <c r="D967" s="11"/>
      <c r="E967" s="11"/>
      <c r="F967" s="11"/>
      <c r="G967" s="11"/>
    </row>
    <row r="968">
      <c r="B968" s="11"/>
      <c r="C968" s="11"/>
      <c r="D968" s="11"/>
      <c r="E968" s="11"/>
      <c r="F968" s="11"/>
      <c r="G968" s="11"/>
    </row>
    <row r="969">
      <c r="B969" s="11"/>
      <c r="C969" s="11"/>
      <c r="D969" s="11"/>
      <c r="E969" s="11"/>
      <c r="F969" s="11"/>
      <c r="G969" s="11"/>
    </row>
    <row r="970">
      <c r="B970" s="11"/>
      <c r="C970" s="11"/>
      <c r="D970" s="11"/>
      <c r="E970" s="11"/>
      <c r="F970" s="11"/>
      <c r="G970" s="11"/>
    </row>
    <row r="971">
      <c r="B971" s="11"/>
      <c r="C971" s="11"/>
      <c r="D971" s="11"/>
      <c r="E971" s="11"/>
      <c r="F971" s="11"/>
      <c r="G971" s="11"/>
    </row>
    <row r="972">
      <c r="B972" s="11"/>
      <c r="C972" s="11"/>
      <c r="D972" s="11"/>
      <c r="E972" s="11"/>
      <c r="F972" s="11"/>
      <c r="G972" s="11"/>
    </row>
    <row r="973">
      <c r="B973" s="11"/>
      <c r="C973" s="11"/>
      <c r="D973" s="11"/>
      <c r="E973" s="11"/>
      <c r="F973" s="11"/>
      <c r="G973" s="11"/>
    </row>
    <row r="974">
      <c r="B974" s="11"/>
      <c r="C974" s="11"/>
      <c r="D974" s="11"/>
      <c r="E974" s="11"/>
      <c r="F974" s="11"/>
      <c r="G974" s="11"/>
    </row>
    <row r="975">
      <c r="B975" s="11"/>
      <c r="C975" s="11"/>
      <c r="D975" s="11"/>
      <c r="E975" s="11"/>
      <c r="F975" s="11"/>
      <c r="G975" s="11"/>
    </row>
    <row r="976">
      <c r="B976" s="11"/>
      <c r="C976" s="11"/>
      <c r="D976" s="11"/>
      <c r="E976" s="11"/>
      <c r="F976" s="11"/>
      <c r="G976" s="11"/>
    </row>
    <row r="977">
      <c r="B977" s="11"/>
      <c r="C977" s="11"/>
      <c r="D977" s="11"/>
      <c r="E977" s="11"/>
      <c r="F977" s="11"/>
      <c r="G977" s="11"/>
    </row>
    <row r="978">
      <c r="B978" s="11"/>
      <c r="C978" s="11"/>
      <c r="D978" s="11"/>
      <c r="E978" s="11"/>
      <c r="F978" s="11"/>
      <c r="G978" s="11"/>
    </row>
    <row r="979">
      <c r="B979" s="11"/>
      <c r="C979" s="11"/>
      <c r="D979" s="11"/>
      <c r="E979" s="11"/>
      <c r="F979" s="11"/>
      <c r="G979" s="11"/>
    </row>
    <row r="980">
      <c r="B980" s="11"/>
      <c r="C980" s="11"/>
      <c r="D980" s="11"/>
      <c r="E980" s="11"/>
      <c r="F980" s="11"/>
      <c r="G980" s="11"/>
    </row>
    <row r="981">
      <c r="B981" s="11"/>
      <c r="C981" s="11"/>
      <c r="D981" s="11"/>
      <c r="E981" s="11"/>
      <c r="F981" s="11"/>
      <c r="G981" s="11"/>
    </row>
    <row r="982">
      <c r="B982" s="11"/>
      <c r="C982" s="11"/>
      <c r="D982" s="11"/>
      <c r="E982" s="11"/>
      <c r="F982" s="11"/>
      <c r="G982" s="11"/>
    </row>
    <row r="983">
      <c r="B983" s="11"/>
      <c r="C983" s="11"/>
      <c r="D983" s="11"/>
      <c r="E983" s="11"/>
      <c r="F983" s="11"/>
      <c r="G983" s="11"/>
    </row>
    <row r="984">
      <c r="B984" s="11"/>
      <c r="C984" s="11"/>
      <c r="D984" s="11"/>
      <c r="E984" s="11"/>
      <c r="F984" s="11"/>
      <c r="G984" s="11"/>
    </row>
    <row r="985">
      <c r="B985" s="11"/>
      <c r="C985" s="11"/>
      <c r="D985" s="11"/>
      <c r="E985" s="11"/>
      <c r="F985" s="11"/>
      <c r="G985" s="11"/>
    </row>
    <row r="986">
      <c r="B986" s="11"/>
      <c r="C986" s="11"/>
      <c r="D986" s="11"/>
      <c r="E986" s="11"/>
      <c r="F986" s="11"/>
      <c r="G986" s="11"/>
    </row>
    <row r="987">
      <c r="B987" s="11"/>
      <c r="C987" s="11"/>
      <c r="D987" s="11"/>
      <c r="E987" s="11"/>
      <c r="F987" s="11"/>
      <c r="G987" s="11"/>
    </row>
    <row r="988">
      <c r="B988" s="11"/>
      <c r="C988" s="11"/>
      <c r="D988" s="11"/>
      <c r="E988" s="11"/>
      <c r="F988" s="11"/>
      <c r="G988" s="11"/>
    </row>
    <row r="989">
      <c r="B989" s="11"/>
      <c r="C989" s="11"/>
      <c r="D989" s="11"/>
      <c r="E989" s="11"/>
      <c r="F989" s="11"/>
      <c r="G989" s="11"/>
    </row>
    <row r="990">
      <c r="B990" s="11"/>
      <c r="C990" s="11"/>
      <c r="D990" s="11"/>
      <c r="E990" s="11"/>
      <c r="F990" s="11"/>
      <c r="G990" s="11"/>
    </row>
    <row r="991">
      <c r="B991" s="11"/>
      <c r="C991" s="11"/>
      <c r="D991" s="11"/>
      <c r="E991" s="11"/>
      <c r="F991" s="11"/>
      <c r="G991" s="11"/>
    </row>
    <row r="992">
      <c r="B992" s="11"/>
      <c r="C992" s="11"/>
      <c r="D992" s="11"/>
      <c r="E992" s="11"/>
      <c r="F992" s="11"/>
      <c r="G992" s="11"/>
    </row>
    <row r="993">
      <c r="B993" s="11"/>
      <c r="C993" s="11"/>
      <c r="D993" s="11"/>
      <c r="E993" s="11"/>
      <c r="F993" s="11"/>
      <c r="G993" s="11"/>
    </row>
    <row r="994">
      <c r="B994" s="11"/>
      <c r="C994" s="11"/>
      <c r="D994" s="11"/>
      <c r="E994" s="11"/>
      <c r="F994" s="11"/>
      <c r="G994" s="11"/>
    </row>
    <row r="995">
      <c r="B995" s="11"/>
      <c r="C995" s="11"/>
      <c r="D995" s="11"/>
      <c r="E995" s="11"/>
      <c r="F995" s="11"/>
      <c r="G995" s="11"/>
    </row>
    <row r="996">
      <c r="B996" s="11"/>
      <c r="C996" s="11"/>
      <c r="D996" s="11"/>
      <c r="E996" s="11"/>
      <c r="F996" s="11"/>
      <c r="G996" s="11"/>
    </row>
    <row r="997">
      <c r="B997" s="11"/>
      <c r="C997" s="11"/>
      <c r="D997" s="11"/>
      <c r="E997" s="11"/>
      <c r="F997" s="11"/>
      <c r="G997" s="11"/>
    </row>
    <row r="998">
      <c r="B998" s="11"/>
      <c r="C998" s="11"/>
      <c r="D998" s="11"/>
      <c r="E998" s="11"/>
      <c r="F998" s="11"/>
      <c r="G998" s="11"/>
    </row>
    <row r="999">
      <c r="B999" s="11"/>
      <c r="C999" s="11"/>
      <c r="D999" s="11"/>
      <c r="E999" s="11"/>
      <c r="F999" s="11"/>
      <c r="G999" s="11"/>
    </row>
    <row r="1000">
      <c r="B1000" s="11"/>
      <c r="C1000" s="11"/>
      <c r="D1000" s="11"/>
      <c r="E1000" s="11"/>
      <c r="F1000" s="11"/>
      <c r="G1000" s="11"/>
    </row>
  </sheetData>
  <conditionalFormatting sqref="B37:L44">
    <cfRule type="cellIs" dxfId="1" priority="1" operator="greaterThan">
      <formula>"85%"</formula>
    </cfRule>
  </conditionalFormatting>
  <conditionalFormatting sqref="B32:M32">
    <cfRule type="colorScale" priority="2">
      <colorScale>
        <cfvo type="formula" val="72%"/>
        <cfvo type="max"/>
        <color rgb="FFFFFFFF"/>
        <color rgb="FF57BB8A"/>
      </colorScale>
    </cfRule>
  </conditionalFormatting>
  <conditionalFormatting sqref="B2:E34 F2:G31">
    <cfRule type="cellIs" dxfId="0" priority="3" operator="greaterThan">
      <formula>"95%"</formula>
    </cfRule>
  </conditionalFormatting>
  <drawing r:id="rId1"/>
</worksheet>
</file>